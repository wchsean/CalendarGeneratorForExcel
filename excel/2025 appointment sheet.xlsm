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C:\Users\wchse\OneDrive\桌面\code learning\execlAppointmentSheet\"/>
    </mc:Choice>
  </mc:AlternateContent>
  <xr:revisionPtr revIDLastSave="0" documentId="13_ncr:1_{1C07539A-CF87-431D-A94A-471CFCA9C29A}" xr6:coauthVersionLast="36" xr6:coauthVersionMax="36" xr10:uidLastSave="{00000000-0000-0000-0000-000000000000}"/>
  <bookViews>
    <workbookView xWindow="0" yWindow="0" windowWidth="21405" windowHeight="10710" xr2:uid="{00000000-000D-0000-FFFF-FFFF00000000}"/>
  </bookViews>
  <sheets>
    <sheet name="orgin" sheetId="1" r:id="rId1"/>
    <sheet name="holiday" sheetId="2" r:id="rId2"/>
    <sheet name="create sheet" sheetId="3" r:id="rId3"/>
  </sheets>
  <calcPr calcId="191029"/>
  <customWorkbookViews>
    <customWorkbookView name="wchsean - 個人檢視畫面" guid="{ED7F0585-821B-4CF6-9AE0-E6BD7B56F04D}" mergeInterval="0" personalView="1" maximized="1" xWindow="-8" yWindow="-8" windowWidth="1382" windowHeight="744" activeSheetId="1"/>
    <customWorkbookView name="王正翔 - 個人檢視畫面" guid="{70797D03-8F71-4039-A999-FC28B160FC61}" mergeInterval="0" personalView="1" maximized="1" xWindow="-8" yWindow="-8" windowWidth="1936" windowHeight="1048" activeSheetId="1"/>
  </customWorkbookViews>
</workbook>
</file>

<file path=xl/calcChain.xml><?xml version="1.0" encoding="utf-8"?>
<calcChain xmlns="http://schemas.openxmlformats.org/spreadsheetml/2006/main">
  <c r="N4" i="1" l="1"/>
  <c r="E4" i="1"/>
  <c r="E3" i="2" l="1"/>
  <c r="F2" i="2"/>
  <c r="G2" i="2" s="1"/>
  <c r="E4" i="2" l="1"/>
  <c r="F3" i="2"/>
  <c r="G3" i="2" s="1"/>
  <c r="N2" i="1"/>
  <c r="E5" i="2" l="1"/>
  <c r="F4" i="2"/>
  <c r="G4" i="2" s="1"/>
  <c r="AY43" i="1"/>
  <c r="C8" i="1"/>
  <c r="AY48" i="1"/>
  <c r="AY46" i="1"/>
  <c r="AY47" i="1"/>
  <c r="AY45" i="1"/>
  <c r="AY44" i="1"/>
  <c r="E6" i="2" l="1"/>
  <c r="F5" i="2"/>
  <c r="G5" i="2" s="1"/>
  <c r="C6" i="1"/>
  <c r="B6" i="1"/>
  <c r="C4" i="1"/>
  <c r="A11" i="1"/>
  <c r="A13" i="1" s="1"/>
  <c r="A15" i="1" s="1"/>
  <c r="A17" i="1" s="1"/>
  <c r="A19" i="1" s="1"/>
  <c r="A21" i="1" s="1"/>
  <c r="A23" i="1" s="1"/>
  <c r="A25" i="1" s="1"/>
  <c r="A27" i="1" s="1"/>
  <c r="A29" i="1" s="1"/>
  <c r="A31" i="1" s="1"/>
  <c r="A33" i="1" s="1"/>
  <c r="A35" i="1" s="1"/>
  <c r="A37" i="1" s="1"/>
  <c r="A39" i="1" s="1"/>
  <c r="A41" i="1" s="1"/>
  <c r="A43" i="1" s="1"/>
  <c r="A45" i="1" s="1"/>
  <c r="G6" i="2" l="1"/>
  <c r="F6" i="2"/>
  <c r="E7" i="2"/>
  <c r="F7" i="2" l="1"/>
  <c r="G7" i="2"/>
  <c r="E8" i="2"/>
  <c r="E9" i="2" l="1"/>
  <c r="F8" i="2"/>
  <c r="G8" i="2" s="1"/>
  <c r="E10" i="2" l="1"/>
  <c r="F9" i="2"/>
  <c r="G9" i="2" s="1"/>
  <c r="G10" i="2" l="1"/>
  <c r="F10" i="2"/>
  <c r="E11" i="2"/>
  <c r="F11" i="2" l="1"/>
  <c r="G11" i="2"/>
  <c r="E12" i="2"/>
  <c r="F12" i="2" l="1"/>
  <c r="G12" i="2" s="1"/>
  <c r="E13" i="2"/>
  <c r="E14" i="2" l="1"/>
  <c r="F13" i="2"/>
  <c r="G13" i="2" s="1"/>
  <c r="G14" i="2" l="1"/>
  <c r="F14" i="2"/>
  <c r="E15" i="2"/>
  <c r="F15" i="2" l="1"/>
  <c r="G15" i="2" s="1"/>
  <c r="E16" i="2"/>
  <c r="E17" i="2" l="1"/>
  <c r="F16" i="2"/>
  <c r="G16" i="2" s="1"/>
  <c r="E18" i="2" l="1"/>
  <c r="F17" i="2"/>
  <c r="G17" i="2" s="1"/>
  <c r="F18" i="2" l="1"/>
  <c r="G18" i="2" s="1"/>
  <c r="E19" i="2"/>
  <c r="E20" i="2" l="1"/>
  <c r="F19" i="2"/>
  <c r="G19" i="2" s="1"/>
  <c r="E21" i="2" l="1"/>
  <c r="G20" i="2"/>
  <c r="F20" i="2"/>
  <c r="E22" i="2" l="1"/>
  <c r="G21" i="2"/>
  <c r="F21" i="2"/>
  <c r="F22" i="2" l="1"/>
  <c r="G22" i="2" s="1"/>
  <c r="E23" i="2"/>
  <c r="F4" i="1"/>
  <c r="E5" i="1"/>
  <c r="E6" i="1" s="1"/>
  <c r="E7" i="1" s="1"/>
  <c r="E8" i="1" s="1"/>
  <c r="E9" i="1" s="1"/>
  <c r="G4" i="1" l="1"/>
  <c r="F5" i="1"/>
  <c r="F6" i="1" s="1"/>
  <c r="F7" i="1" s="1"/>
  <c r="F8" i="1" s="1"/>
  <c r="F9" i="1" s="1"/>
  <c r="F23" i="2"/>
  <c r="G23" i="2" s="1"/>
  <c r="E24" i="2"/>
  <c r="E25" i="2" l="1"/>
  <c r="F24" i="2"/>
  <c r="G24" i="2" s="1"/>
  <c r="G5" i="1"/>
  <c r="G6" i="1" s="1"/>
  <c r="G7" i="1" s="1"/>
  <c r="G8" i="1" s="1"/>
  <c r="G9" i="1" s="1"/>
  <c r="H4" i="1"/>
  <c r="H5" i="1" l="1"/>
  <c r="H6" i="1" s="1"/>
  <c r="H7" i="1" s="1"/>
  <c r="H8" i="1" s="1"/>
  <c r="H9" i="1" s="1"/>
  <c r="I4" i="1"/>
  <c r="E26" i="2"/>
  <c r="F25" i="2"/>
  <c r="G25" i="2" s="1"/>
  <c r="N5" i="1" l="1"/>
  <c r="N6" i="1" s="1"/>
  <c r="N7" i="1" s="1"/>
  <c r="N8" i="1" s="1"/>
  <c r="N9" i="1" s="1"/>
  <c r="O4" i="1"/>
  <c r="I5" i="1"/>
  <c r="I6" i="1" s="1"/>
  <c r="I7" i="1" s="1"/>
  <c r="I8" i="1" s="1"/>
  <c r="I9" i="1" s="1"/>
  <c r="J4" i="1"/>
  <c r="F26" i="2"/>
  <c r="G26" i="2" s="1"/>
  <c r="E27" i="2"/>
  <c r="F27" i="2" l="1"/>
  <c r="G27" i="2" s="1"/>
  <c r="E28" i="2"/>
  <c r="J5" i="1"/>
  <c r="J6" i="1" s="1"/>
  <c r="J7" i="1" s="1"/>
  <c r="J8" i="1" s="1"/>
  <c r="J9" i="1" s="1"/>
  <c r="K4" i="1"/>
  <c r="K5" i="1" s="1"/>
  <c r="K6" i="1" s="1"/>
  <c r="K7" i="1" s="1"/>
  <c r="K8" i="1" s="1"/>
  <c r="K9" i="1" s="1"/>
  <c r="P4" i="1"/>
  <c r="O5" i="1"/>
  <c r="O6" i="1" s="1"/>
  <c r="O7" i="1" s="1"/>
  <c r="O8" i="1" s="1"/>
  <c r="O9" i="1" s="1"/>
  <c r="P5" i="1" l="1"/>
  <c r="P6" i="1" s="1"/>
  <c r="P7" i="1" s="1"/>
  <c r="P8" i="1" s="1"/>
  <c r="P9" i="1" s="1"/>
  <c r="Q4" i="1"/>
  <c r="F28" i="2"/>
  <c r="G28" i="2" s="1"/>
  <c r="E29" i="2"/>
  <c r="R4" i="1" l="1"/>
  <c r="Q5" i="1"/>
  <c r="Q6" i="1" s="1"/>
  <c r="Q7" i="1" s="1"/>
  <c r="Q8" i="1" s="1"/>
  <c r="Q9" i="1" s="1"/>
  <c r="E30" i="2"/>
  <c r="F29" i="2"/>
  <c r="G29" i="2" s="1"/>
  <c r="G30" i="2" l="1"/>
  <c r="F30" i="2"/>
  <c r="E31" i="2"/>
  <c r="R5" i="1"/>
  <c r="R6" i="1" s="1"/>
  <c r="R7" i="1" s="1"/>
  <c r="R8" i="1" s="1"/>
  <c r="R9" i="1" s="1"/>
  <c r="S4" i="1"/>
  <c r="S5" i="1" l="1"/>
  <c r="S6" i="1" s="1"/>
  <c r="S7" i="1" s="1"/>
  <c r="S8" i="1" s="1"/>
  <c r="S9" i="1" s="1"/>
  <c r="T4" i="1"/>
  <c r="T5" i="1" s="1"/>
  <c r="T6" i="1" s="1"/>
  <c r="T7" i="1" s="1"/>
  <c r="T8" i="1" s="1"/>
  <c r="T9" i="1" s="1"/>
  <c r="F31" i="2"/>
  <c r="E32" i="2"/>
  <c r="G31" i="2"/>
  <c r="E33" i="2" l="1"/>
  <c r="F32" i="2"/>
  <c r="G32" i="2" s="1"/>
  <c r="E34" i="2" l="1"/>
  <c r="G33" i="2"/>
  <c r="F33" i="2"/>
  <c r="G34" i="2" l="1"/>
  <c r="F34" i="2"/>
  <c r="E35" i="2"/>
  <c r="F35" i="2" l="1"/>
  <c r="G35" i="2" s="1"/>
  <c r="E36" i="2"/>
  <c r="E37" i="2" l="1"/>
  <c r="G36" i="2"/>
  <c r="F36" i="2"/>
  <c r="E38" i="2" l="1"/>
  <c r="F37" i="2"/>
  <c r="G37" i="2" s="1"/>
  <c r="F38" i="2" l="1"/>
  <c r="G38" i="2" s="1"/>
  <c r="E39" i="2"/>
  <c r="F39" i="2" l="1"/>
  <c r="G39" i="2" s="1"/>
  <c r="E40" i="2"/>
  <c r="E41" i="2" l="1"/>
  <c r="F40" i="2"/>
  <c r="G40" i="2" s="1"/>
  <c r="E42" i="2" l="1"/>
  <c r="F41" i="2"/>
  <c r="G41" i="2" s="1"/>
  <c r="F42" i="2" l="1"/>
  <c r="G42" i="2" s="1"/>
  <c r="E43" i="2"/>
  <c r="F43" i="2" l="1"/>
  <c r="E44" i="2"/>
  <c r="G43" i="2"/>
  <c r="E45" i="2" l="1"/>
  <c r="G44" i="2"/>
  <c r="F44" i="2"/>
  <c r="E46" i="2" l="1"/>
  <c r="F45" i="2"/>
  <c r="G45" i="2" s="1"/>
  <c r="F46" i="2" l="1"/>
  <c r="G46" i="2" s="1"/>
</calcChain>
</file>

<file path=xl/sharedStrings.xml><?xml version="1.0" encoding="utf-8"?>
<sst xmlns="http://schemas.openxmlformats.org/spreadsheetml/2006/main" count="103" uniqueCount="79">
  <si>
    <t>Time</t>
  </si>
  <si>
    <t>NOTE</t>
  </si>
  <si>
    <t>𝓛</t>
  </si>
  <si>
    <t>S</t>
  </si>
  <si>
    <t>M</t>
  </si>
  <si>
    <t>T</t>
  </si>
  <si>
    <t>W</t>
  </si>
  <si>
    <t>F</t>
  </si>
  <si>
    <t>A.S.A.P</t>
    <phoneticPr fontId="7" type="noConversion"/>
  </si>
  <si>
    <t>𝓝</t>
  </si>
  <si>
    <t>⚑</t>
  </si>
  <si>
    <t xml:space="preserve">Muzzle on! </t>
    <phoneticPr fontId="7" type="noConversion"/>
  </si>
  <si>
    <t>x</t>
  </si>
  <si>
    <t>No Show</t>
  </si>
  <si>
    <t>✚</t>
    <phoneticPr fontId="7" type="noConversion"/>
  </si>
  <si>
    <t>$</t>
    <phoneticPr fontId="7" type="noConversion"/>
  </si>
  <si>
    <t>wating list</t>
  </si>
  <si>
    <t>Start Time</t>
  </si>
  <si>
    <t>Interval</t>
  </si>
  <si>
    <t>day</t>
  </si>
  <si>
    <t>calendar reference</t>
  </si>
  <si>
    <t>first day</t>
  </si>
  <si>
    <t xml:space="preserve"> Friday before AFL Grand Final (subject to AFL schedule)</t>
  </si>
  <si>
    <t xml:space="preserve"> Melbourne Cup</t>
  </si>
  <si>
    <t xml:space="preserve"> Christmas Day</t>
  </si>
  <si>
    <t xml:space="preserve"> Boxing Day</t>
  </si>
  <si>
    <t xml:space="preserve"> Additional public holiday for Christmas Day</t>
  </si>
  <si>
    <t xml:space="preserve"> New Year's Day</t>
  </si>
  <si>
    <t xml:space="preserve"> Additional public holiday for New Year's Day</t>
  </si>
  <si>
    <t xml:space="preserve"> Australia Day</t>
  </si>
  <si>
    <t xml:space="preserve"> Labour Day</t>
  </si>
  <si>
    <t xml:space="preserve"> Good Friday</t>
  </si>
  <si>
    <t xml:space="preserve"> Saturday before Easter Sunday</t>
  </si>
  <si>
    <t xml:space="preserve"> Easter Sunday</t>
  </si>
  <si>
    <t xml:space="preserve"> Easter Monday</t>
  </si>
  <si>
    <t xml:space="preserve"> Anzac Day</t>
  </si>
  <si>
    <t xml:space="preserve"> Queen's Birthday</t>
  </si>
  <si>
    <t>No customer date or New customer, give the quote first</t>
    <phoneticPr fontId="7" type="noConversion"/>
  </si>
  <si>
    <t>C</t>
    <phoneticPr fontId="7" type="noConversion"/>
  </si>
  <si>
    <t>Already at shop</t>
    <phoneticPr fontId="7" type="noConversion"/>
  </si>
  <si>
    <t>F</t>
    <phoneticPr fontId="7" type="noConversion"/>
  </si>
  <si>
    <t>Finish and notified</t>
    <phoneticPr fontId="7" type="noConversion"/>
  </si>
  <si>
    <t>Already pick up</t>
    <phoneticPr fontId="7" type="noConversion"/>
  </si>
  <si>
    <t>➠</t>
    <phoneticPr fontId="7" type="noConversion"/>
  </si>
  <si>
    <t>total dogs</t>
    <phoneticPr fontId="7" type="noConversion"/>
  </si>
  <si>
    <t>big dog</t>
    <phoneticPr fontId="7" type="noConversion"/>
  </si>
  <si>
    <t>not blank before 12:59</t>
    <phoneticPr fontId="7" type="noConversion"/>
  </si>
  <si>
    <t>not blank after 1:00</t>
    <phoneticPr fontId="7" type="noConversion"/>
  </si>
  <si>
    <t>how many over one before 12:59</t>
    <phoneticPr fontId="7" type="noConversion"/>
  </si>
  <si>
    <t>how many over one after 1:00</t>
    <phoneticPr fontId="7" type="noConversion"/>
  </si>
  <si>
    <t>over one dog before 12:59</t>
    <phoneticPr fontId="7" type="noConversion"/>
  </si>
  <si>
    <t>over one dog after 1:00</t>
    <phoneticPr fontId="7" type="noConversion"/>
  </si>
  <si>
    <t xml:space="preserve"> </t>
    <phoneticPr fontId="7" type="noConversion"/>
  </si>
  <si>
    <t>am</t>
    <phoneticPr fontId="7" type="noConversion"/>
  </si>
  <si>
    <t>pm</t>
    <phoneticPr fontId="7" type="noConversion"/>
  </si>
  <si>
    <t>FN</t>
    <phoneticPr fontId="7" type="noConversion"/>
  </si>
  <si>
    <t>P</t>
    <phoneticPr fontId="7" type="noConversion"/>
  </si>
  <si>
    <t>New Year's Day</t>
  </si>
  <si>
    <t>Australia Day</t>
  </si>
  <si>
    <t>Labour Day</t>
  </si>
  <si>
    <t>Easter Sunday</t>
  </si>
  <si>
    <t>Easter Monday</t>
  </si>
  <si>
    <t>Boxing Day</t>
  </si>
  <si>
    <t>Good Friday</t>
  </si>
  <si>
    <t>Day following Good Friday</t>
  </si>
  <si>
    <t>Anzac Day</t>
  </si>
  <si>
    <t>Queen's Birthday</t>
  </si>
  <si>
    <t>AFL Grand Final Friday</t>
  </si>
  <si>
    <t>TBA</t>
  </si>
  <si>
    <t>Melbourne Cup Day *</t>
  </si>
  <si>
    <t>Christmas Day</t>
  </si>
  <si>
    <t>Special grooming instruction in the customer system or follow up the suggestion of grooming skill</t>
    <phoneticPr fontId="7" type="noConversion"/>
  </si>
  <si>
    <t>S</t>
    <phoneticPr fontId="7" type="noConversion"/>
  </si>
  <si>
    <t>Large dog (extra time)</t>
    <phoneticPr fontId="7" type="noConversion"/>
  </si>
  <si>
    <t>Old, please be gentle</t>
    <phoneticPr fontId="7" type="noConversion"/>
  </si>
  <si>
    <t>Finish, not notified yet</t>
    <phoneticPr fontId="7" type="noConversion"/>
  </si>
  <si>
    <t>Very sensitive about the price. Confirm service &amp; price before accepting dog</t>
    <phoneticPr fontId="7" type="noConversion"/>
  </si>
  <si>
    <t>Australia Day Holiday</t>
  </si>
  <si>
    <t>King's Birthday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</si>
</sst>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ddd\,\ \ d\ \ mmmm\ \ yyyy"/>
    <numFmt numFmtId="165" formatCode="mmmm"/>
    <numFmt numFmtId="166" formatCode="d"/>
    <numFmt numFmtId="167" formatCode="&quot; &quot;ddd&quot;,&quot;dmmm"/>
    <numFmt numFmtId="168" formatCode="[$-409]h:mm\ AM/PM"/>
    <numFmt numFmtId="169" formatCode="ddd\,\ m/d/yy"/>
    <numFmt numFmtId="170" formatCode="yyyy\-mm\-dd"/>
    <numFmt numFmtId="171" formatCode="yyyy/mm/dd"/>
    <numFmt numFmtId="172" formatCode="ddd&quot;,&quot;dmmm"/>
    <numFmt numFmtId="173" formatCode="yyyy/mm/dd;@"/>
  </numFmts>
  <fonts count="30">
    <font>
      <sz val="10"/>
      <color theme="1"/>
      <name val="Calibri"/>
      <scheme val="minor"/>
    </font>
    <font>
      <sz val="10"/>
      <color theme="1"/>
      <name val="Arial"/>
      <family val="2"/>
    </font>
    <font>
      <sz val="10"/>
      <color theme="1"/>
      <name val="Calibri"/>
      <family val="2"/>
      <scheme val="minor"/>
    </font>
    <font>
      <b/>
      <sz val="10"/>
      <color theme="4"/>
      <name val="Arial"/>
      <family val="2"/>
    </font>
    <font>
      <sz val="10"/>
      <color theme="4"/>
      <name val="Arial"/>
      <family val="2"/>
    </font>
    <font>
      <sz val="10"/>
      <color rgb="FFFF0000"/>
      <name val="Arial"/>
      <family val="2"/>
    </font>
    <font>
      <b/>
      <sz val="9"/>
      <color theme="1"/>
      <name val="Arial"/>
      <family val="2"/>
    </font>
    <font>
      <sz val="9"/>
      <name val="Calibri"/>
      <family val="3"/>
      <charset val="136"/>
      <scheme val="minor"/>
    </font>
    <font>
      <sz val="10"/>
      <color rgb="FF2B4575"/>
      <name val="Arial"/>
      <family val="2"/>
    </font>
    <font>
      <sz val="10"/>
      <color rgb="FF1C7F1C"/>
      <name val="Arial"/>
      <family val="2"/>
    </font>
    <font>
      <sz val="10"/>
      <color rgb="FF7F7F7F"/>
      <name val="Arial"/>
      <family val="2"/>
    </font>
    <font>
      <sz val="10"/>
      <color rgb="FF953535"/>
      <name val="Arial"/>
      <family val="2"/>
    </font>
    <font>
      <sz val="10"/>
      <name val="Arial"/>
      <family val="2"/>
    </font>
    <font>
      <sz val="11"/>
      <color theme="0"/>
      <name val="Arial"/>
      <family val="2"/>
    </font>
    <font>
      <b/>
      <sz val="20"/>
      <name val="Arial"/>
      <family val="2"/>
    </font>
    <font>
      <sz val="13"/>
      <color theme="1"/>
      <name val="Arial"/>
      <family val="2"/>
    </font>
    <font>
      <sz val="13"/>
      <name val="Arial"/>
      <family val="2"/>
    </font>
    <font>
      <sz val="13"/>
      <color rgb="FF000000"/>
      <name val="Arial"/>
      <family val="2"/>
    </font>
    <font>
      <sz val="12"/>
      <color theme="1"/>
      <name val="Arial"/>
      <family val="2"/>
    </font>
    <font>
      <sz val="11"/>
      <color rgb="FF2B4575"/>
      <name val="Arial"/>
      <family val="2"/>
    </font>
    <font>
      <sz val="11"/>
      <color theme="1"/>
      <name val="Arial"/>
      <family val="2"/>
    </font>
    <font>
      <sz val="11"/>
      <color rgb="FF1C7F1C"/>
      <name val="Arial"/>
      <family val="2"/>
    </font>
    <font>
      <sz val="11"/>
      <color rgb="FF444444"/>
      <name val="Arial"/>
      <family val="2"/>
    </font>
    <font>
      <sz val="11"/>
      <color rgb="FF953535"/>
      <name val="Arial"/>
      <family val="2"/>
    </font>
    <font>
      <sz val="8"/>
      <color theme="1"/>
      <name val="Arial"/>
      <family val="2"/>
    </font>
    <font>
      <sz val="10"/>
      <color rgb="FF222222"/>
      <name val="Arial"/>
      <family val="2"/>
    </font>
    <font>
      <sz val="15"/>
      <color theme="1"/>
      <name val="Arial"/>
      <family val="2"/>
    </font>
    <font>
      <sz val="11"/>
      <color theme="1"/>
      <name val="Segoe UI Symbol"/>
      <family val="2"/>
    </font>
    <font>
      <sz val="8"/>
      <color rgb="FF555555"/>
      <name val="Inherit"/>
      <family val="2"/>
    </font>
    <font>
      <sz val="10"/>
      <color rgb="FF333333"/>
      <name val="Arial"/>
      <family val="2"/>
    </font>
  </fonts>
  <fills count="11">
    <fill>
      <patternFill patternType="none"/>
    </fill>
    <fill>
      <patternFill patternType="gray125"/>
    </fill>
    <fill>
      <patternFill patternType="solid">
        <fgColor theme="4"/>
        <bgColor theme="4"/>
      </patternFill>
    </fill>
    <fill>
      <patternFill patternType="solid">
        <fgColor rgb="FFD3DDEE"/>
        <bgColor rgb="FFD3DDEE"/>
      </patternFill>
    </fill>
    <fill>
      <patternFill patternType="solid">
        <fgColor theme="0"/>
        <bgColor theme="0"/>
      </patternFill>
    </fill>
    <fill>
      <patternFill patternType="solid">
        <fgColor rgb="FFF2DBDB"/>
        <bgColor rgb="FFF2DBDB"/>
      </patternFill>
    </fill>
    <fill>
      <patternFill patternType="solid">
        <fgColor rgb="FFD9D2E9"/>
        <bgColor rgb="FFD9D2E9"/>
      </patternFill>
    </fill>
    <fill>
      <patternFill patternType="solid">
        <fgColor rgb="FFF2F2F2"/>
        <bgColor rgb="FFF2F2F2"/>
      </patternFill>
    </fill>
    <fill>
      <patternFill patternType="solid">
        <fgColor rgb="FFFFFFFF"/>
        <bgColor indexed="64"/>
      </patternFill>
    </fill>
    <fill>
      <patternFill patternType="solid">
        <fgColor rgb="FFF9F9F9"/>
        <bgColor indexed="64"/>
      </patternFill>
    </fill>
    <fill>
      <patternFill patternType="solid">
        <fgColor rgb="FFF3F3F3"/>
        <bgColor indexed="64"/>
      </patternFill>
    </fill>
  </fills>
  <borders count="45">
    <border>
      <left/>
      <right/>
      <top/>
      <bottom/>
      <diagonal/>
    </border>
    <border>
      <left style="medium">
        <color rgb="FFD8D8D8"/>
      </left>
      <right/>
      <top style="medium">
        <color rgb="FFD8D8D8"/>
      </top>
      <bottom style="medium">
        <color rgb="FFD8D8D8"/>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D8D8D8"/>
      </left>
      <right/>
      <top style="medium">
        <color rgb="FFD8D8D8"/>
      </top>
      <bottom/>
      <diagonal/>
    </border>
    <border>
      <left/>
      <right/>
      <top style="medium">
        <color rgb="FFD8D8D8"/>
      </top>
      <bottom/>
      <diagonal/>
    </border>
    <border>
      <left style="thin">
        <color rgb="FFBFBFBF"/>
      </left>
      <right/>
      <top/>
      <bottom/>
      <diagonal/>
    </border>
    <border>
      <left style="thin">
        <color rgb="FFBFBFBF"/>
      </left>
      <right style="thin">
        <color rgb="FFBFBFBF"/>
      </right>
      <top style="thin">
        <color rgb="FFBFBFBF"/>
      </top>
      <bottom style="thin">
        <color rgb="FFBFBFBF"/>
      </bottom>
      <diagonal/>
    </border>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D8D8D8"/>
      </left>
      <right/>
      <top/>
      <bottom style="medium">
        <color rgb="FFD8D8D8"/>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style="thin">
        <color indexed="64"/>
      </top>
      <bottom/>
      <diagonal/>
    </border>
    <border>
      <left style="thin">
        <color theme="0" tint="-0.14999847407452621"/>
      </left>
      <right/>
      <top style="thin">
        <color indexed="64"/>
      </top>
      <bottom/>
      <diagonal/>
    </border>
    <border>
      <left/>
      <right style="medium">
        <color theme="0" tint="-0.14999847407452621"/>
      </right>
      <top style="thin">
        <color indexed="64"/>
      </top>
      <bottom/>
      <diagonal/>
    </border>
    <border>
      <left style="thin">
        <color theme="0" tint="-0.249977111117893"/>
      </left>
      <right/>
      <top style="thin">
        <color theme="0" tint="-0.249977111117893"/>
      </top>
      <bottom style="thin">
        <color indexed="64"/>
      </bottom>
      <diagonal/>
    </border>
    <border>
      <left style="thin">
        <color theme="0" tint="-0.14999847407452621"/>
      </left>
      <right/>
      <top/>
      <bottom style="thin">
        <color indexed="64"/>
      </bottom>
      <diagonal/>
    </border>
    <border>
      <left/>
      <right style="medium">
        <color theme="0" tint="-0.14999847407452621"/>
      </right>
      <top/>
      <bottom style="thin">
        <color indexed="64"/>
      </bottom>
      <diagonal/>
    </border>
    <border>
      <left style="medium">
        <color rgb="FFD8D8D8"/>
      </left>
      <right style="thin">
        <color indexed="64"/>
      </right>
      <top style="medium">
        <color rgb="FFD8D8D8"/>
      </top>
      <bottom/>
      <diagonal/>
    </border>
    <border>
      <left style="medium">
        <color rgb="FFD8D8D8"/>
      </left>
      <right style="thin">
        <color indexed="64"/>
      </right>
      <top/>
      <bottom style="medium">
        <color rgb="FFD8D8D8"/>
      </bottom>
      <diagonal/>
    </border>
    <border>
      <left style="medium">
        <color rgb="FFD8D8D8"/>
      </left>
      <right/>
      <top/>
      <bottom style="thin">
        <color indexed="64"/>
      </bottom>
      <diagonal/>
    </border>
    <border>
      <left/>
      <right/>
      <top style="medium">
        <color rgb="FFDDDDDD"/>
      </top>
      <bottom/>
      <diagonal/>
    </border>
    <border>
      <left style="thin">
        <color theme="0" tint="-0.14999847407452621"/>
      </left>
      <right/>
      <top/>
      <bottom/>
      <diagonal/>
    </border>
    <border>
      <left/>
      <right style="thin">
        <color theme="0" tint="-0.14999847407452621"/>
      </right>
      <top/>
      <bottom/>
      <diagonal/>
    </border>
  </borders>
  <cellStyleXfs count="1">
    <xf numFmtId="0" fontId="0" fillId="0" borderId="0"/>
  </cellStyleXfs>
  <cellXfs count="143">
    <xf numFmtId="0" fontId="0" fillId="0" borderId="0" xfId="0"/>
    <xf numFmtId="0" fontId="3" fillId="0" borderId="0" xfId="0" applyFont="1"/>
    <xf numFmtId="0" fontId="4" fillId="0" borderId="0" xfId="0" applyFont="1"/>
    <xf numFmtId="166" fontId="1" fillId="0" borderId="0" xfId="0" applyNumberFormat="1" applyFont="1"/>
    <xf numFmtId="0" fontId="1" fillId="0" borderId="0" xfId="0" applyFont="1"/>
    <xf numFmtId="0" fontId="4" fillId="0" borderId="0" xfId="0" applyFont="1" applyAlignment="1">
      <alignment wrapText="1"/>
    </xf>
    <xf numFmtId="0" fontId="2" fillId="0" borderId="0" xfId="0" applyFont="1"/>
    <xf numFmtId="0" fontId="5" fillId="0" borderId="0" xfId="0" applyFont="1"/>
    <xf numFmtId="14" fontId="1" fillId="0" borderId="0" xfId="0" applyNumberFormat="1" applyFont="1"/>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right"/>
    </xf>
    <xf numFmtId="49" fontId="1" fillId="0" borderId="0" xfId="0" applyNumberFormat="1" applyFont="1"/>
    <xf numFmtId="0" fontId="1" fillId="0" borderId="0" xfId="0" applyFont="1" applyAlignment="1">
      <alignment horizontal="left"/>
    </xf>
    <xf numFmtId="170" fontId="1" fillId="0" borderId="0" xfId="0" applyNumberFormat="1" applyFont="1"/>
    <xf numFmtId="165" fontId="1" fillId="0" borderId="0" xfId="0" applyNumberFormat="1" applyFont="1"/>
    <xf numFmtId="165" fontId="1" fillId="4" borderId="0" xfId="0" applyNumberFormat="1" applyFont="1" applyFill="1" applyAlignment="1">
      <alignment horizontal="center"/>
    </xf>
    <xf numFmtId="0" fontId="5" fillId="0" borderId="2" xfId="0" applyFont="1" applyBorder="1" applyAlignment="1" applyProtection="1">
      <alignment horizontal="center"/>
      <protection hidden="1"/>
    </xf>
    <xf numFmtId="0" fontId="1" fillId="0" borderId="0" xfId="0" applyFont="1" applyAlignment="1" applyProtection="1">
      <alignment horizontal="center"/>
      <protection hidden="1"/>
    </xf>
    <xf numFmtId="0" fontId="5" fillId="0" borderId="3" xfId="0" applyFont="1" applyBorder="1" applyAlignment="1" applyProtection="1">
      <alignment horizontal="center"/>
      <protection hidden="1"/>
    </xf>
    <xf numFmtId="166" fontId="1" fillId="0" borderId="7" xfId="0" applyNumberFormat="1" applyFont="1" applyBorder="1" applyAlignment="1" applyProtection="1">
      <alignment horizontal="center"/>
      <protection hidden="1"/>
    </xf>
    <xf numFmtId="166" fontId="1" fillId="0" borderId="8" xfId="0" applyNumberFormat="1" applyFont="1" applyBorder="1" applyAlignment="1" applyProtection="1">
      <alignment horizontal="center"/>
      <protection hidden="1"/>
    </xf>
    <xf numFmtId="166" fontId="1" fillId="0" borderId="9" xfId="0" applyNumberFormat="1" applyFont="1" applyBorder="1" applyAlignment="1" applyProtection="1">
      <alignment horizontal="center"/>
      <protection hidden="1"/>
    </xf>
    <xf numFmtId="166" fontId="1" fillId="0" borderId="2" xfId="0" applyNumberFormat="1" applyFont="1" applyBorder="1" applyAlignment="1" applyProtection="1">
      <alignment horizontal="center"/>
      <protection hidden="1"/>
    </xf>
    <xf numFmtId="166" fontId="1" fillId="0" borderId="0" xfId="0" applyNumberFormat="1" applyFont="1" applyAlignment="1" applyProtection="1">
      <alignment horizontal="center"/>
      <protection hidden="1"/>
    </xf>
    <xf numFmtId="166" fontId="1" fillId="0" borderId="3" xfId="0" applyNumberFormat="1" applyFont="1" applyBorder="1" applyAlignment="1" applyProtection="1">
      <alignment horizontal="center"/>
      <protection hidden="1"/>
    </xf>
    <xf numFmtId="166" fontId="1" fillId="0" borderId="4" xfId="0" applyNumberFormat="1" applyFont="1" applyBorder="1" applyAlignment="1" applyProtection="1">
      <alignment horizontal="center"/>
      <protection hidden="1"/>
    </xf>
    <xf numFmtId="166" fontId="1" fillId="0" borderId="5" xfId="0" applyNumberFormat="1" applyFont="1" applyBorder="1" applyAlignment="1" applyProtection="1">
      <alignment horizontal="center"/>
      <protection hidden="1"/>
    </xf>
    <xf numFmtId="166" fontId="1" fillId="0" borderId="6" xfId="0" applyNumberFormat="1" applyFont="1" applyBorder="1" applyAlignment="1" applyProtection="1">
      <alignment horizontal="center"/>
      <protection hidden="1"/>
    </xf>
    <xf numFmtId="14" fontId="2" fillId="0" borderId="0" xfId="0" applyNumberFormat="1" applyFont="1"/>
    <xf numFmtId="0" fontId="13" fillId="2" borderId="1" xfId="0" applyFont="1" applyFill="1" applyBorder="1" applyAlignment="1">
      <alignment horizontal="center" vertical="center"/>
    </xf>
    <xf numFmtId="0" fontId="19" fillId="0" borderId="1" xfId="0" applyFont="1" applyBorder="1" applyAlignment="1">
      <alignment horizontal="center" vertical="center"/>
    </xf>
    <xf numFmtId="0" fontId="12" fillId="0" borderId="14" xfId="0" applyFont="1" applyBorder="1"/>
    <xf numFmtId="0" fontId="20" fillId="0" borderId="1" xfId="0" applyFont="1" applyBorder="1" applyAlignment="1">
      <alignment horizontal="center" vertical="center"/>
    </xf>
    <xf numFmtId="0" fontId="22" fillId="0" borderId="0" xfId="0" applyFont="1" applyAlignment="1">
      <alignment horizontal="center" vertical="center"/>
    </xf>
    <xf numFmtId="0" fontId="8" fillId="0" borderId="0" xfId="0" applyFont="1" applyAlignment="1">
      <alignment horizontal="right" vertical="center"/>
    </xf>
    <xf numFmtId="0" fontId="8" fillId="0" borderId="13" xfId="0" applyFont="1" applyBorder="1" applyAlignment="1">
      <alignment horizontal="center" vertical="center"/>
    </xf>
    <xf numFmtId="0" fontId="8" fillId="0" borderId="0" xfId="0" applyFont="1" applyAlignment="1">
      <alignment horizontal="center" vertical="center"/>
    </xf>
    <xf numFmtId="0" fontId="8" fillId="0" borderId="0" xfId="0" applyFont="1" applyAlignment="1">
      <alignment vertical="center" wrapText="1"/>
    </xf>
    <xf numFmtId="0" fontId="1" fillId="0" borderId="0" xfId="0" applyFont="1" applyAlignment="1">
      <alignment vertical="center" wrapText="1"/>
    </xf>
    <xf numFmtId="14" fontId="25" fillId="0" borderId="0" xfId="0" applyNumberFormat="1" applyFont="1" applyAlignment="1">
      <alignment horizontal="center"/>
    </xf>
    <xf numFmtId="0" fontId="9"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vertical="center" wrapText="1"/>
    </xf>
    <xf numFmtId="171" fontId="1" fillId="0" borderId="0" xfId="0" applyNumberFormat="1" applyFont="1"/>
    <xf numFmtId="165" fontId="1" fillId="4" borderId="14" xfId="0" applyNumberFormat="1" applyFont="1" applyFill="1" applyBorder="1" applyAlignment="1">
      <alignment horizontal="center"/>
    </xf>
    <xf numFmtId="0" fontId="1" fillId="4" borderId="14" xfId="0" applyFont="1" applyFill="1" applyBorder="1"/>
    <xf numFmtId="0" fontId="5" fillId="4" borderId="14" xfId="0" applyFont="1" applyFill="1" applyBorder="1"/>
    <xf numFmtId="172" fontId="6" fillId="4" borderId="14" xfId="0" applyNumberFormat="1" applyFont="1" applyFill="1" applyBorder="1" applyAlignment="1" applyProtection="1">
      <alignment horizontal="center" vertical="center"/>
      <protection hidden="1"/>
    </xf>
    <xf numFmtId="0" fontId="16" fillId="0" borderId="14" xfId="0" applyFont="1" applyBorder="1" applyAlignment="1" applyProtection="1">
      <protection locked="0"/>
    </xf>
    <xf numFmtId="0" fontId="15" fillId="0" borderId="0" xfId="0" applyFont="1" applyAlignment="1" applyProtection="1">
      <protection hidden="1"/>
    </xf>
    <xf numFmtId="14" fontId="0" fillId="0" borderId="0" xfId="0" applyNumberFormat="1"/>
    <xf numFmtId="0" fontId="1" fillId="0" borderId="14" xfId="0" applyFont="1" applyBorder="1"/>
    <xf numFmtId="166" fontId="1" fillId="0" borderId="14" xfId="0" applyNumberFormat="1" applyFont="1" applyBorder="1" applyAlignment="1" applyProtection="1">
      <alignment horizontal="center"/>
      <protection hidden="1"/>
    </xf>
    <xf numFmtId="166" fontId="1" fillId="0" borderId="14" xfId="0" applyNumberFormat="1" applyFont="1" applyBorder="1"/>
    <xf numFmtId="49" fontId="24" fillId="7" borderId="25" xfId="0" applyNumberFormat="1" applyFont="1" applyFill="1" applyBorder="1" applyAlignment="1" applyProtection="1">
      <alignment horizontal="center" vertical="center"/>
      <protection locked="0"/>
    </xf>
    <xf numFmtId="0" fontId="1" fillId="0" borderId="0" xfId="0" applyNumberFormat="1" applyFont="1"/>
    <xf numFmtId="0" fontId="27" fillId="0" borderId="1" xfId="0" applyFont="1" applyBorder="1" applyAlignment="1">
      <alignment horizontal="center" vertical="center"/>
    </xf>
    <xf numFmtId="0" fontId="19" fillId="0" borderId="24" xfId="0" applyFont="1" applyBorder="1" applyAlignment="1">
      <alignment horizontal="center" vertical="center"/>
    </xf>
    <xf numFmtId="0" fontId="23" fillId="0" borderId="24" xfId="0" applyFont="1" applyBorder="1" applyAlignment="1">
      <alignment horizontal="center" vertical="center"/>
    </xf>
    <xf numFmtId="0" fontId="1" fillId="0" borderId="14" xfId="0" applyFont="1" applyBorder="1" applyAlignment="1" applyProtection="1">
      <alignment horizontal="center"/>
      <protection hidden="1"/>
    </xf>
    <xf numFmtId="0" fontId="16" fillId="0" borderId="14" xfId="0" applyFont="1" applyBorder="1" applyAlignment="1" applyProtection="1">
      <protection hidden="1"/>
    </xf>
    <xf numFmtId="166" fontId="1" fillId="0" borderId="18" xfId="0" applyNumberFormat="1" applyFont="1" applyBorder="1" applyAlignment="1" applyProtection="1">
      <alignment horizontal="center"/>
      <protection hidden="1"/>
    </xf>
    <xf numFmtId="166" fontId="1" fillId="0" borderId="19" xfId="0" applyNumberFormat="1" applyFont="1" applyBorder="1" applyAlignment="1" applyProtection="1">
      <alignment horizontal="center"/>
      <protection hidden="1"/>
    </xf>
    <xf numFmtId="166" fontId="1" fillId="0" borderId="20" xfId="0" applyNumberFormat="1" applyFont="1" applyBorder="1" applyAlignment="1" applyProtection="1">
      <alignment horizontal="center"/>
      <protection hidden="1"/>
    </xf>
    <xf numFmtId="166" fontId="1" fillId="0" borderId="21" xfId="0" applyNumberFormat="1" applyFont="1" applyBorder="1" applyAlignment="1" applyProtection="1">
      <alignment horizontal="center"/>
      <protection hidden="1"/>
    </xf>
    <xf numFmtId="166" fontId="1" fillId="0" borderId="22" xfId="0" applyNumberFormat="1" applyFont="1" applyBorder="1" applyAlignment="1" applyProtection="1">
      <alignment horizontal="center"/>
      <protection hidden="1"/>
    </xf>
    <xf numFmtId="0" fontId="5" fillId="0" borderId="28" xfId="0" applyFont="1" applyBorder="1" applyAlignment="1" applyProtection="1">
      <alignment horizontal="center"/>
      <protection hidden="1"/>
    </xf>
    <xf numFmtId="0" fontId="1" fillId="0" borderId="29" xfId="0" applyFont="1" applyBorder="1" applyAlignment="1" applyProtection="1">
      <alignment horizontal="center"/>
      <protection hidden="1"/>
    </xf>
    <xf numFmtId="0" fontId="5" fillId="0" borderId="30" xfId="0" applyFont="1" applyBorder="1" applyAlignment="1" applyProtection="1">
      <alignment horizontal="center"/>
      <protection hidden="1"/>
    </xf>
    <xf numFmtId="49" fontId="24" fillId="7" borderId="33" xfId="0" applyNumberFormat="1" applyFont="1" applyFill="1" applyBorder="1" applyAlignment="1" applyProtection="1">
      <alignment horizontal="center" vertical="center"/>
      <protection locked="0"/>
    </xf>
    <xf numFmtId="49" fontId="24" fillId="7" borderId="20" xfId="0" applyNumberFormat="1" applyFont="1" applyFill="1" applyBorder="1" applyAlignment="1" applyProtection="1">
      <alignment horizontal="center" vertical="center"/>
      <protection locked="0"/>
    </xf>
    <xf numFmtId="0" fontId="24" fillId="7" borderId="36" xfId="0" applyNumberFormat="1" applyFont="1" applyFill="1" applyBorder="1" applyAlignment="1" applyProtection="1">
      <alignment horizontal="center" vertical="center"/>
      <protection locked="0"/>
    </xf>
    <xf numFmtId="0" fontId="9" fillId="0" borderId="27" xfId="0" applyFont="1" applyBorder="1" applyAlignment="1">
      <alignment vertical="top" wrapText="1"/>
    </xf>
    <xf numFmtId="167" fontId="6" fillId="4" borderId="28" xfId="0" applyNumberFormat="1" applyFont="1" applyFill="1" applyBorder="1"/>
    <xf numFmtId="0" fontId="1" fillId="4" borderId="30" xfId="0" applyFont="1" applyFill="1" applyBorder="1"/>
    <xf numFmtId="0" fontId="1" fillId="0" borderId="28" xfId="0" applyFont="1" applyBorder="1"/>
    <xf numFmtId="0" fontId="1" fillId="0" borderId="30" xfId="0" applyFont="1" applyBorder="1"/>
    <xf numFmtId="0" fontId="1" fillId="4" borderId="28" xfId="0" applyFont="1" applyFill="1" applyBorder="1"/>
    <xf numFmtId="0" fontId="28" fillId="8" borderId="14" xfId="0" applyFont="1" applyFill="1" applyBorder="1" applyAlignment="1">
      <alignment horizontal="left" vertical="top" wrapText="1"/>
    </xf>
    <xf numFmtId="0" fontId="28" fillId="9" borderId="42" xfId="0" applyFont="1" applyFill="1" applyBorder="1" applyAlignment="1">
      <alignment horizontal="left" vertical="top" wrapText="1"/>
    </xf>
    <xf numFmtId="0" fontId="28" fillId="8" borderId="42" xfId="0" applyFont="1" applyFill="1" applyBorder="1" applyAlignment="1">
      <alignment horizontal="left" vertical="top" wrapText="1"/>
    </xf>
    <xf numFmtId="0" fontId="28" fillId="10" borderId="42" xfId="0" applyFont="1" applyFill="1" applyBorder="1" applyAlignment="1">
      <alignment horizontal="left" vertical="top" wrapText="1"/>
    </xf>
    <xf numFmtId="14" fontId="28" fillId="8" borderId="14" xfId="0" applyNumberFormat="1" applyFont="1" applyFill="1" applyBorder="1" applyAlignment="1">
      <alignment horizontal="left" vertical="top" wrapText="1"/>
    </xf>
    <xf numFmtId="14" fontId="28" fillId="9" borderId="42" xfId="0" applyNumberFormat="1" applyFont="1" applyFill="1" applyBorder="1" applyAlignment="1">
      <alignment horizontal="left" vertical="top" wrapText="1"/>
    </xf>
    <xf numFmtId="14" fontId="28" fillId="8" borderId="42" xfId="0" applyNumberFormat="1" applyFont="1" applyFill="1" applyBorder="1" applyAlignment="1">
      <alignment horizontal="left" vertical="top" wrapText="1"/>
    </xf>
    <xf numFmtId="14" fontId="28" fillId="10" borderId="42" xfId="0" applyNumberFormat="1" applyFont="1" applyFill="1" applyBorder="1" applyAlignment="1">
      <alignment horizontal="left" vertical="top" wrapText="1"/>
    </xf>
    <xf numFmtId="0" fontId="21" fillId="0" borderId="11" xfId="0" applyFont="1" applyBorder="1" applyAlignment="1">
      <alignment horizontal="center" vertical="center"/>
    </xf>
    <xf numFmtId="0" fontId="18" fillId="0" borderId="0" xfId="0" applyFont="1" applyAlignment="1"/>
    <xf numFmtId="0" fontId="1" fillId="0" borderId="14" xfId="0" applyFont="1" applyBorder="1" applyAlignment="1">
      <alignment vertical="top" wrapText="1"/>
    </xf>
    <xf numFmtId="0" fontId="20" fillId="0" borderId="11" xfId="0" applyFont="1" applyBorder="1" applyAlignment="1">
      <alignment vertical="center"/>
    </xf>
    <xf numFmtId="0" fontId="27" fillId="0" borderId="1" xfId="0" applyFont="1" applyBorder="1" applyAlignment="1">
      <alignment vertical="center"/>
    </xf>
    <xf numFmtId="0" fontId="1" fillId="0" borderId="43" xfId="0" applyFont="1" applyBorder="1"/>
    <xf numFmtId="173" fontId="29" fillId="8" borderId="42" xfId="0" applyNumberFormat="1" applyFont="1" applyFill="1" applyBorder="1" applyAlignment="1">
      <alignment horizontal="left" vertical="top" wrapText="1"/>
    </xf>
    <xf numFmtId="0" fontId="0" fillId="0" borderId="14" xfId="0" applyFill="1" applyBorder="1"/>
    <xf numFmtId="169" fontId="8" fillId="0" borderId="0" xfId="0" applyNumberFormat="1" applyFont="1" applyAlignment="1">
      <alignment horizontal="center" vertical="center"/>
    </xf>
    <xf numFmtId="0" fontId="1" fillId="0" borderId="0" xfId="0" applyFont="1" applyAlignment="1"/>
    <xf numFmtId="18" fontId="8" fillId="0" borderId="12" xfId="0" applyNumberFormat="1" applyFont="1" applyBorder="1" applyAlignment="1">
      <alignment horizontal="center" vertical="center"/>
    </xf>
    <xf numFmtId="49" fontId="1" fillId="0" borderId="34" xfId="0" applyNumberFormat="1" applyFont="1" applyBorder="1" applyAlignment="1" applyProtection="1">
      <alignment horizontal="left" vertical="top" wrapText="1"/>
      <protection locked="0"/>
    </xf>
    <xf numFmtId="49" fontId="1" fillId="0" borderId="16" xfId="0" applyNumberFormat="1" applyFont="1" applyBorder="1" applyAlignment="1" applyProtection="1">
      <alignment horizontal="left" vertical="top" wrapText="1"/>
      <protection locked="0"/>
    </xf>
    <xf numFmtId="49" fontId="1" fillId="0" borderId="35" xfId="0" applyNumberFormat="1" applyFont="1" applyBorder="1" applyAlignment="1" applyProtection="1">
      <alignment horizontal="left" vertical="top" wrapText="1"/>
      <protection locked="0"/>
    </xf>
    <xf numFmtId="49" fontId="1" fillId="0" borderId="37" xfId="0" applyNumberFormat="1" applyFont="1" applyBorder="1" applyAlignment="1" applyProtection="1">
      <alignment horizontal="left" vertical="top" wrapText="1"/>
      <protection locked="0"/>
    </xf>
    <xf numFmtId="49" fontId="1" fillId="0" borderId="21" xfId="0" applyNumberFormat="1" applyFont="1" applyBorder="1" applyAlignment="1" applyProtection="1">
      <alignment horizontal="left" vertical="top" wrapText="1"/>
      <protection locked="0"/>
    </xf>
    <xf numFmtId="49" fontId="1" fillId="0" borderId="38" xfId="0" applyNumberFormat="1" applyFont="1" applyBorder="1" applyAlignment="1" applyProtection="1">
      <alignment horizontal="left" vertical="top" wrapText="1"/>
      <protection locked="0"/>
    </xf>
    <xf numFmtId="168" fontId="20" fillId="0" borderId="39" xfId="0" applyNumberFormat="1" applyFont="1" applyBorder="1" applyAlignment="1" applyProtection="1">
      <alignment horizontal="center" vertical="center"/>
      <protection hidden="1"/>
    </xf>
    <xf numFmtId="168" fontId="20" fillId="0" borderId="40" xfId="0" applyNumberFormat="1" applyFont="1" applyBorder="1" applyAlignment="1" applyProtection="1">
      <alignment horizontal="center" vertical="center"/>
      <protection hidden="1"/>
    </xf>
    <xf numFmtId="168" fontId="20" fillId="0" borderId="10" xfId="0" applyNumberFormat="1" applyFont="1" applyBorder="1" applyAlignment="1" applyProtection="1">
      <alignment horizontal="center" vertical="center"/>
      <protection hidden="1"/>
    </xf>
    <xf numFmtId="168" fontId="20" fillId="0" borderId="23" xfId="0" applyNumberFormat="1" applyFont="1" applyBorder="1" applyAlignment="1" applyProtection="1">
      <alignment horizontal="center" vertical="center"/>
      <protection hidden="1"/>
    </xf>
    <xf numFmtId="165" fontId="15" fillId="3" borderId="21" xfId="0" applyNumberFormat="1" applyFont="1" applyFill="1" applyBorder="1" applyAlignment="1" applyProtection="1">
      <alignment horizontal="center"/>
      <protection locked="0"/>
    </xf>
    <xf numFmtId="165" fontId="17" fillId="5" borderId="21" xfId="0" applyNumberFormat="1" applyFont="1" applyFill="1" applyBorder="1" applyAlignment="1" applyProtection="1">
      <alignment horizontal="center"/>
      <protection hidden="1"/>
    </xf>
    <xf numFmtId="0" fontId="1" fillId="4" borderId="18" xfId="0" applyFont="1" applyFill="1" applyBorder="1" applyAlignment="1"/>
    <xf numFmtId="0" fontId="1" fillId="4" borderId="14" xfId="0" applyFont="1" applyFill="1" applyBorder="1" applyAlignment="1"/>
    <xf numFmtId="0" fontId="1" fillId="4" borderId="3" xfId="0" applyFont="1" applyFill="1" applyBorder="1" applyAlignment="1"/>
    <xf numFmtId="0" fontId="26" fillId="0" borderId="15" xfId="0" applyFont="1" applyBorder="1" applyAlignment="1">
      <alignment horizontal="left" vertical="top"/>
    </xf>
    <xf numFmtId="0" fontId="26" fillId="0" borderId="16" xfId="0" applyFont="1" applyBorder="1" applyAlignment="1">
      <alignment horizontal="left" vertical="top"/>
    </xf>
    <xf numFmtId="0" fontId="26" fillId="0" borderId="17" xfId="0" applyFont="1" applyBorder="1" applyAlignment="1">
      <alignment horizontal="left" vertical="top"/>
    </xf>
    <xf numFmtId="0" fontId="26" fillId="0" borderId="18" xfId="0" applyFont="1" applyBorder="1" applyAlignment="1">
      <alignment horizontal="left" vertical="top"/>
    </xf>
    <xf numFmtId="0" fontId="26" fillId="0" borderId="14" xfId="0" applyFont="1" applyBorder="1" applyAlignment="1">
      <alignment horizontal="left" vertical="top"/>
    </xf>
    <xf numFmtId="0" fontId="26" fillId="0" borderId="19" xfId="0" applyFont="1" applyBorder="1" applyAlignment="1">
      <alignment horizontal="left" vertical="top"/>
    </xf>
    <xf numFmtId="0" fontId="26" fillId="0" borderId="20" xfId="0" applyFont="1" applyBorder="1" applyAlignment="1">
      <alignment horizontal="left" vertical="top"/>
    </xf>
    <xf numFmtId="0" fontId="26" fillId="0" borderId="21" xfId="0" applyFont="1" applyBorder="1" applyAlignment="1">
      <alignment horizontal="left" vertical="top"/>
    </xf>
    <xf numFmtId="0" fontId="26" fillId="0" borderId="22" xfId="0" applyFont="1" applyBorder="1" applyAlignment="1">
      <alignment horizontal="left" vertical="top"/>
    </xf>
    <xf numFmtId="0" fontId="18" fillId="0" borderId="0" xfId="0" applyFont="1" applyAlignment="1"/>
    <xf numFmtId="0" fontId="8" fillId="0" borderId="14" xfId="0" applyFont="1" applyBorder="1" applyAlignment="1">
      <alignment vertical="top" wrapText="1"/>
    </xf>
    <xf numFmtId="0" fontId="10" fillId="0" borderId="14" xfId="0" applyFont="1" applyBorder="1" applyAlignment="1">
      <alignment vertical="top" wrapText="1"/>
    </xf>
    <xf numFmtId="0" fontId="1" fillId="0" borderId="14" xfId="0" applyFont="1" applyBorder="1" applyAlignment="1">
      <alignment vertical="top" wrapText="1"/>
    </xf>
    <xf numFmtId="0" fontId="1" fillId="0" borderId="14" xfId="0" applyFont="1" applyBorder="1" applyAlignment="1">
      <alignment vertical="center" wrapText="1"/>
    </xf>
    <xf numFmtId="0" fontId="1" fillId="0" borderId="44" xfId="0" applyFont="1" applyBorder="1" applyAlignment="1">
      <alignment vertical="center" wrapText="1"/>
    </xf>
    <xf numFmtId="0" fontId="9" fillId="0" borderId="14" xfId="0" applyFont="1" applyBorder="1" applyAlignment="1">
      <alignment vertical="top" wrapText="1"/>
    </xf>
    <xf numFmtId="0" fontId="1" fillId="6" borderId="14" xfId="0" applyFont="1" applyFill="1" applyBorder="1" applyAlignment="1">
      <alignment vertical="top" wrapText="1"/>
    </xf>
    <xf numFmtId="49" fontId="1" fillId="0" borderId="17" xfId="0" applyNumberFormat="1" applyFont="1" applyBorder="1" applyAlignment="1" applyProtection="1">
      <alignment horizontal="left" vertical="top" wrapText="1"/>
      <protection locked="0"/>
    </xf>
    <xf numFmtId="49" fontId="1" fillId="0" borderId="22" xfId="0" applyNumberFormat="1" applyFont="1" applyBorder="1" applyAlignment="1" applyProtection="1">
      <alignment horizontal="left" vertical="top" wrapText="1"/>
      <protection locked="0"/>
    </xf>
    <xf numFmtId="0" fontId="20" fillId="0" borderId="10" xfId="0" applyFont="1" applyBorder="1" applyAlignment="1" applyProtection="1">
      <alignment horizontal="center" vertical="center"/>
      <protection hidden="1"/>
    </xf>
    <xf numFmtId="0" fontId="20" fillId="0" borderId="41" xfId="0" applyFont="1" applyBorder="1" applyAlignment="1" applyProtection="1">
      <alignment horizontal="center" vertical="center"/>
      <protection hidden="1"/>
    </xf>
    <xf numFmtId="0" fontId="1" fillId="4" borderId="28" xfId="0" applyFont="1" applyFill="1" applyBorder="1" applyAlignment="1">
      <alignment horizontal="center"/>
    </xf>
    <xf numFmtId="0" fontId="1" fillId="4" borderId="30" xfId="0" applyFont="1" applyFill="1" applyBorder="1" applyAlignment="1">
      <alignment horizontal="center"/>
    </xf>
    <xf numFmtId="164" fontId="14" fillId="3" borderId="14" xfId="0" applyNumberFormat="1" applyFont="1" applyFill="1" applyBorder="1" applyAlignment="1" applyProtection="1">
      <alignment horizontal="left" vertical="center"/>
      <protection locked="0"/>
    </xf>
    <xf numFmtId="0" fontId="8" fillId="0" borderId="26" xfId="0" applyFont="1" applyBorder="1" applyAlignment="1">
      <alignment horizontal="center" vertical="top" wrapText="1"/>
    </xf>
    <xf numFmtId="0" fontId="8" fillId="0" borderId="32" xfId="0" applyFont="1" applyBorder="1" applyAlignment="1">
      <alignment horizontal="center" vertical="top" wrapText="1"/>
    </xf>
    <xf numFmtId="0" fontId="8" fillId="0" borderId="31" xfId="0" applyFont="1" applyBorder="1" applyAlignment="1">
      <alignment horizontal="center" vertical="top" wrapText="1"/>
    </xf>
    <xf numFmtId="0" fontId="11" fillId="0" borderId="26" xfId="0" applyFont="1" applyBorder="1" applyAlignment="1">
      <alignment horizontal="center" vertical="top" wrapText="1"/>
    </xf>
    <xf numFmtId="0" fontId="11" fillId="0" borderId="32" xfId="0" applyFont="1" applyBorder="1" applyAlignment="1">
      <alignment horizontal="center" vertical="top" wrapText="1"/>
    </xf>
    <xf numFmtId="0" fontId="11" fillId="0" borderId="31" xfId="0" applyFont="1" applyBorder="1" applyAlignment="1">
      <alignment horizontal="center" vertical="top" wrapText="1"/>
    </xf>
  </cellXfs>
  <cellStyles count="1">
    <cellStyle name="一般" xfId="0" builtinId="0"/>
  </cellStyles>
  <dxfs count="63">
    <dxf>
      <fill>
        <patternFill patternType="none"/>
      </fill>
    </dxf>
    <dxf>
      <fill>
        <patternFill patternType="none"/>
      </fill>
    </dxf>
    <dxf>
      <fill>
        <patternFill patternType="solid">
          <fgColor rgb="FFD9D2E9"/>
          <bgColor rgb="FFFFCC00"/>
        </patternFill>
      </fill>
    </dxf>
    <dxf>
      <font>
        <color rgb="FF953535"/>
      </font>
      <fill>
        <patternFill patternType="solid">
          <fgColor rgb="FFF2DBDB"/>
          <bgColor rgb="FFF2DBDB"/>
        </patternFill>
      </fill>
    </dxf>
    <dxf>
      <font>
        <color rgb="FF7F7F7F"/>
      </font>
      <fill>
        <patternFill patternType="none"/>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theme="7" tint="0.79998168889431442"/>
        </patternFill>
      </fill>
    </dxf>
    <dxf>
      <fill>
        <patternFill patternType="solid">
          <fgColor rgb="FFD9D2E9"/>
          <bgColor rgb="FFFFCC00"/>
        </patternFill>
      </fill>
    </dxf>
    <dxf>
      <font>
        <color rgb="FF953535"/>
      </font>
      <fill>
        <patternFill patternType="solid">
          <fgColor rgb="FFF2DBDB"/>
          <bgColor rgb="FFF2DBDB"/>
        </patternFill>
      </fill>
    </dxf>
    <dxf>
      <font>
        <color rgb="FF7F7F7F"/>
      </font>
      <fill>
        <patternFill patternType="none"/>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theme="7" tint="0.79998168889431442"/>
        </patternFill>
      </fill>
    </dxf>
    <dxf>
      <fill>
        <patternFill patternType="solid">
          <fgColor rgb="FFD9D2E9"/>
          <bgColor rgb="FFFFCC00"/>
        </patternFill>
      </fill>
    </dxf>
    <dxf>
      <font>
        <color rgb="FF953535"/>
      </font>
      <fill>
        <patternFill patternType="solid">
          <fgColor rgb="FFF2DBDB"/>
          <bgColor rgb="FFF2DBDB"/>
        </patternFill>
      </fill>
    </dxf>
    <dxf>
      <font>
        <color rgb="FF7F7F7F"/>
      </font>
      <fill>
        <patternFill patternType="none"/>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theme="7" tint="0.79998168889431442"/>
        </patternFill>
      </fill>
    </dxf>
    <dxf>
      <fill>
        <patternFill patternType="solid">
          <fgColor rgb="FFD9D2E9"/>
          <bgColor rgb="FFFFCC00"/>
        </patternFill>
      </fill>
    </dxf>
    <dxf>
      <font>
        <color rgb="FF953535"/>
      </font>
      <fill>
        <patternFill patternType="solid">
          <fgColor rgb="FFF2DBDB"/>
          <bgColor rgb="FFF2DBDB"/>
        </patternFill>
      </fill>
    </dxf>
    <dxf>
      <font>
        <color rgb="FF7F7F7F"/>
      </font>
      <fill>
        <patternFill patternType="none"/>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theme="7" tint="0.79998168889431442"/>
        </patternFill>
      </fill>
    </dxf>
    <dxf>
      <fill>
        <patternFill patternType="solid">
          <fgColor rgb="FFD9D2E9"/>
          <bgColor rgb="FFFFCC00"/>
        </patternFill>
      </fill>
    </dxf>
    <dxf>
      <font>
        <color rgb="FF953535"/>
      </font>
      <fill>
        <patternFill patternType="solid">
          <fgColor rgb="FFF2DBDB"/>
          <bgColor rgb="FFF2DBDB"/>
        </patternFill>
      </fill>
    </dxf>
    <dxf>
      <font>
        <color rgb="FF7F7F7F"/>
      </font>
      <fill>
        <patternFill patternType="none"/>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theme="7" tint="0.79998168889431442"/>
        </patternFill>
      </fill>
    </dxf>
    <dxf>
      <fill>
        <patternFill patternType="solid">
          <fgColor rgb="FFD8D8D8"/>
          <bgColor rgb="FFD8D8D8"/>
        </patternFill>
      </fill>
    </dxf>
    <dxf>
      <font>
        <color rgb="FF953535"/>
      </font>
      <fill>
        <patternFill patternType="solid">
          <fgColor rgb="FFF2DBDB"/>
          <bgColor rgb="FFF2DBDB"/>
        </patternFill>
      </fill>
    </dxf>
    <dxf>
      <font>
        <color auto="1"/>
      </font>
      <fill>
        <patternFill patternType="solid">
          <bgColor rgb="FFCC99FF"/>
        </patternFill>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rgb="FFFFFF99"/>
        </patternFill>
      </fill>
    </dxf>
    <dxf>
      <fill>
        <patternFill patternType="solid">
          <fgColor rgb="FFD8D8D8"/>
          <bgColor rgb="FFD8D8D8"/>
        </patternFill>
      </fill>
    </dxf>
    <dxf>
      <font>
        <color rgb="FF953535"/>
      </font>
      <fill>
        <patternFill patternType="solid">
          <fgColor rgb="FFF2DBDB"/>
          <bgColor rgb="FFF2DBDB"/>
        </patternFill>
      </fill>
    </dxf>
    <dxf>
      <font>
        <color auto="1"/>
      </font>
      <fill>
        <patternFill patternType="solid">
          <bgColor rgb="FFCC99FF"/>
        </patternFill>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rgb="FFFFFF99"/>
        </patternFill>
      </fill>
    </dxf>
    <dxf>
      <fill>
        <patternFill patternType="solid">
          <fgColor rgb="FFD9D2E9"/>
          <bgColor rgb="FFFFCC00"/>
        </patternFill>
      </fill>
    </dxf>
    <dxf>
      <font>
        <color rgb="FF953535"/>
      </font>
      <fill>
        <patternFill patternType="solid">
          <fgColor rgb="FFF2DBDB"/>
          <bgColor rgb="FFF2DBDB"/>
        </patternFill>
      </fill>
    </dxf>
    <dxf>
      <font>
        <color rgb="FF7F7F7F"/>
      </font>
      <fill>
        <patternFill patternType="none"/>
      </fill>
    </dxf>
    <dxf>
      <font>
        <color rgb="FF1C7F1C"/>
      </font>
      <fill>
        <patternFill patternType="solid">
          <fgColor rgb="FFCDF3CD"/>
          <bgColor rgb="FFCDF3CD"/>
        </patternFill>
      </fill>
    </dxf>
    <dxf>
      <fill>
        <patternFill patternType="solid">
          <fgColor rgb="FFF9E6D2"/>
          <bgColor rgb="FFF9E6D2"/>
        </patternFill>
      </fill>
    </dxf>
    <dxf>
      <font>
        <color rgb="FF2B4575"/>
      </font>
      <fill>
        <patternFill patternType="solid">
          <fgColor rgb="FFD3DDEE"/>
          <bgColor rgb="FFD3DDEE"/>
        </patternFill>
      </fill>
    </dxf>
    <dxf>
      <fill>
        <patternFill>
          <bgColor theme="7" tint="0.79998168889431442"/>
        </patternFill>
      </fill>
    </dxf>
    <dxf>
      <fill>
        <patternFill patternType="solid">
          <fgColor rgb="FFF4C7C3"/>
          <bgColor rgb="FFF4C7C3"/>
        </patternFill>
      </fill>
    </dxf>
    <dxf>
      <font>
        <color rgb="FFFF0000"/>
      </font>
      <fill>
        <patternFill patternType="none"/>
      </fill>
    </dxf>
    <dxf>
      <font>
        <color rgb="FFFF0000"/>
      </font>
      <fill>
        <patternFill patternType="none"/>
      </fill>
    </dxf>
    <dxf>
      <font>
        <color rgb="FFD8D8D8"/>
      </font>
      <fill>
        <patternFill patternType="none"/>
      </fill>
    </dxf>
    <dxf>
      <font>
        <color rgb="FFD8D8D8"/>
      </font>
      <fill>
        <patternFill patternType="none"/>
      </fill>
    </dxf>
  </dxfs>
  <tableStyles count="0" defaultTableStyle="TableStyleMedium2" defaultPivotStyle="PivotStyleLight16"/>
  <colors>
    <mruColors>
      <color rgb="FFFF99FF"/>
      <color rgb="FFCC99FF"/>
      <color rgb="FFCC66FF"/>
      <color rgb="FFFFFF99"/>
      <color rgb="FFFFCC00"/>
      <color rgb="FFFFCD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297180</xdr:colOff>
      <xdr:row>3</xdr:row>
      <xdr:rowOff>15240</xdr:rowOff>
    </xdr:from>
    <xdr:to>
      <xdr:col>3</xdr:col>
      <xdr:colOff>297180</xdr:colOff>
      <xdr:row>5</xdr:row>
      <xdr:rowOff>106680</xdr:rowOff>
    </xdr:to>
    <xdr:sp macro="[0]!CopyWorkSheets" textlink="">
      <xdr:nvSpPr>
        <xdr:cNvPr id="2" name="矩形: 圓角 1">
          <a:extLst>
            <a:ext uri="{FF2B5EF4-FFF2-40B4-BE49-F238E27FC236}">
              <a16:creationId xmlns:a16="http://schemas.microsoft.com/office/drawing/2014/main" id="{81F77013-5A68-468B-9E81-BB6EC2568726}"/>
            </a:ext>
          </a:extLst>
        </xdr:cNvPr>
        <xdr:cNvSpPr/>
      </xdr:nvSpPr>
      <xdr:spPr>
        <a:xfrm>
          <a:off x="906780" y="541020"/>
          <a:ext cx="1219200" cy="4419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altLang="zh-TW" sz="1400"/>
            <a:t>create</a:t>
          </a:r>
          <a:r>
            <a:rPr lang="en-US" altLang="zh-TW" sz="1400" baseline="0"/>
            <a:t> sheet</a:t>
          </a:r>
          <a:endParaRPr lang="zh-TW" altLang="en-US" sz="1400"/>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3A5D9C"/>
      </a:accent1>
      <a:accent2>
        <a:srgbClr val="C04E4E"/>
      </a:accent2>
      <a:accent3>
        <a:srgbClr val="E68422"/>
      </a:accent3>
      <a:accent4>
        <a:srgbClr val="846648"/>
      </a:accent4>
      <a:accent5>
        <a:srgbClr val="26AA26"/>
      </a:accent5>
      <a:accent6>
        <a:srgbClr val="7860B4"/>
      </a:accent6>
      <a:hlink>
        <a:srgbClr val="4C92AE"/>
      </a:hlink>
      <a:folHlink>
        <a:srgbClr val="4C92AE"/>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工作表51">
    <tabColor theme="0"/>
    <pageSetUpPr fitToPage="1"/>
  </sheetPr>
  <dimension ref="A1:AY1016"/>
  <sheetViews>
    <sheetView showGridLines="0" tabSelected="1" workbookViewId="0">
      <pane xSplit="1" ySplit="1" topLeftCell="B2" activePane="bottomRight" state="frozen"/>
      <selection activeCell="M11" sqref="M11:P11"/>
      <selection pane="topRight" activeCell="M11" sqref="M11:P11"/>
      <selection pane="bottomLeft" activeCell="M11" sqref="M11:P11"/>
      <selection pane="bottomRight"/>
    </sheetView>
  </sheetViews>
  <sheetFormatPr defaultColWidth="14.28515625" defaultRowHeight="15" customHeight="1"/>
  <cols>
    <col min="1" max="1" width="10.7109375" style="4" customWidth="1"/>
    <col min="2" max="49" width="3.42578125" style="4" customWidth="1"/>
    <col min="50" max="50" width="31.5703125" style="4" customWidth="1"/>
    <col min="51" max="51" width="9" style="4" customWidth="1"/>
    <col min="52" max="52" width="16.7109375" style="4" customWidth="1"/>
    <col min="53" max="16384" width="14.28515625" style="4"/>
  </cols>
  <sheetData>
    <row r="1" spans="1:50" ht="21" customHeight="1" thickBot="1">
      <c r="A1" s="30" t="s">
        <v>0</v>
      </c>
      <c r="B1" s="136">
        <v>44790</v>
      </c>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row>
    <row r="2" spans="1:50" ht="21" customHeight="1">
      <c r="A2" s="13"/>
      <c r="B2" s="45"/>
      <c r="C2" s="45"/>
      <c r="E2" s="108">
        <v>45323</v>
      </c>
      <c r="F2" s="108"/>
      <c r="G2" s="108"/>
      <c r="H2" s="108"/>
      <c r="I2" s="108"/>
      <c r="J2" s="108"/>
      <c r="K2" s="108"/>
      <c r="L2" s="49"/>
      <c r="M2" s="45"/>
      <c r="N2" s="109">
        <f>EDATE(E2,1)</f>
        <v>45352</v>
      </c>
      <c r="O2" s="109"/>
      <c r="P2" s="109"/>
      <c r="Q2" s="109"/>
      <c r="R2" s="109"/>
      <c r="S2" s="109"/>
      <c r="T2" s="109"/>
      <c r="U2" s="50"/>
      <c r="V2" s="61"/>
      <c r="W2" s="122" t="s">
        <v>1</v>
      </c>
      <c r="X2" s="122"/>
      <c r="Y2" s="88"/>
      <c r="AE2" s="16"/>
      <c r="AF2" s="16"/>
      <c r="AG2" s="1"/>
      <c r="AQ2" s="58" t="s">
        <v>38</v>
      </c>
      <c r="AR2" s="137" t="s">
        <v>39</v>
      </c>
      <c r="AS2" s="138"/>
      <c r="AT2" s="138"/>
      <c r="AU2" s="138"/>
      <c r="AV2" s="138"/>
      <c r="AW2" s="139"/>
    </row>
    <row r="3" spans="1:50" ht="21" customHeight="1" thickBot="1">
      <c r="A3" s="46"/>
      <c r="B3" s="110" t="s">
        <v>44</v>
      </c>
      <c r="C3" s="111"/>
      <c r="D3" s="112"/>
      <c r="E3" s="17" t="s">
        <v>3</v>
      </c>
      <c r="F3" s="18" t="s">
        <v>4</v>
      </c>
      <c r="G3" s="18" t="s">
        <v>5</v>
      </c>
      <c r="H3" s="18" t="s">
        <v>6</v>
      </c>
      <c r="I3" s="18" t="s">
        <v>5</v>
      </c>
      <c r="J3" s="18" t="s">
        <v>7</v>
      </c>
      <c r="K3" s="19" t="s">
        <v>3</v>
      </c>
      <c r="M3" s="3"/>
      <c r="N3" s="67" t="s">
        <v>3</v>
      </c>
      <c r="O3" s="68" t="s">
        <v>4</v>
      </c>
      <c r="P3" s="68" t="s">
        <v>5</v>
      </c>
      <c r="Q3" s="68" t="s">
        <v>6</v>
      </c>
      <c r="R3" s="68" t="s">
        <v>5</v>
      </c>
      <c r="S3" s="68" t="s">
        <v>7</v>
      </c>
      <c r="T3" s="69" t="s">
        <v>3</v>
      </c>
      <c r="U3" s="60"/>
      <c r="W3" s="113"/>
      <c r="X3" s="114"/>
      <c r="Y3" s="114"/>
      <c r="Z3" s="114"/>
      <c r="AA3" s="114"/>
      <c r="AB3" s="114"/>
      <c r="AC3" s="114"/>
      <c r="AD3" s="114"/>
      <c r="AE3" s="114"/>
      <c r="AF3" s="115"/>
      <c r="AG3" s="32"/>
      <c r="AO3" s="89"/>
      <c r="AQ3" s="58" t="s">
        <v>40</v>
      </c>
      <c r="AR3" s="137" t="s">
        <v>75</v>
      </c>
      <c r="AS3" s="138"/>
      <c r="AT3" s="138"/>
      <c r="AU3" s="138"/>
      <c r="AV3" s="138"/>
      <c r="AW3" s="139"/>
    </row>
    <row r="4" spans="1:50" ht="21" customHeight="1" thickBot="1">
      <c r="A4" s="48"/>
      <c r="B4" s="74"/>
      <c r="C4" s="75">
        <f>AY43+AY44-AY45-AY46+AY47+AY48</f>
        <v>0</v>
      </c>
      <c r="D4" s="32"/>
      <c r="E4" s="20">
        <f>VLOOKUP($E$2,holiday!$E:$G,3,0)</f>
        <v>45319</v>
      </c>
      <c r="F4" s="21">
        <f t="shared" ref="F4:H4" si="0">E4+1</f>
        <v>45320</v>
      </c>
      <c r="G4" s="21">
        <f t="shared" si="0"/>
        <v>45321</v>
      </c>
      <c r="H4" s="21">
        <f t="shared" si="0"/>
        <v>45322</v>
      </c>
      <c r="I4" s="21">
        <f>H4+1</f>
        <v>45323</v>
      </c>
      <c r="J4" s="21">
        <f>I4+1</f>
        <v>45324</v>
      </c>
      <c r="K4" s="22">
        <f>J4+1</f>
        <v>45325</v>
      </c>
      <c r="M4" s="3"/>
      <c r="N4" s="62">
        <f>VLOOKUP($N$2,holiday!$E:$G,3,0)</f>
        <v>45347</v>
      </c>
      <c r="O4" s="53">
        <f>N4+1</f>
        <v>45348</v>
      </c>
      <c r="P4" s="53">
        <f t="shared" ref="P4:S4" si="1">O4+1</f>
        <v>45349</v>
      </c>
      <c r="Q4" s="53">
        <f t="shared" si="1"/>
        <v>45350</v>
      </c>
      <c r="R4" s="53">
        <f t="shared" si="1"/>
        <v>45351</v>
      </c>
      <c r="S4" s="53">
        <f t="shared" si="1"/>
        <v>45352</v>
      </c>
      <c r="T4" s="63">
        <f>S4+1</f>
        <v>45353</v>
      </c>
      <c r="U4" s="53"/>
      <c r="W4" s="116"/>
      <c r="X4" s="117"/>
      <c r="Y4" s="117"/>
      <c r="Z4" s="117"/>
      <c r="AA4" s="117"/>
      <c r="AB4" s="117"/>
      <c r="AC4" s="117"/>
      <c r="AD4" s="117"/>
      <c r="AE4" s="117"/>
      <c r="AF4" s="118"/>
      <c r="AG4" s="32"/>
      <c r="AI4" s="31" t="s">
        <v>2</v>
      </c>
      <c r="AJ4" s="123" t="s">
        <v>73</v>
      </c>
      <c r="AK4" s="123"/>
      <c r="AL4" s="123"/>
      <c r="AM4" s="123"/>
      <c r="AN4" s="123"/>
      <c r="AO4" s="123"/>
      <c r="AP4" s="73"/>
      <c r="AQ4" s="58" t="s">
        <v>55</v>
      </c>
      <c r="AR4" s="137" t="s">
        <v>41</v>
      </c>
      <c r="AS4" s="138"/>
      <c r="AT4" s="138"/>
      <c r="AU4" s="138"/>
      <c r="AV4" s="138"/>
      <c r="AW4" s="139"/>
    </row>
    <row r="5" spans="1:50" ht="21" customHeight="1" thickBot="1">
      <c r="B5" s="76" t="s">
        <v>53</v>
      </c>
      <c r="C5" s="77" t="s">
        <v>54</v>
      </c>
      <c r="E5" s="23">
        <f t="shared" ref="E5:H9" si="2">E4+7</f>
        <v>45326</v>
      </c>
      <c r="F5" s="24">
        <f t="shared" si="2"/>
        <v>45327</v>
      </c>
      <c r="G5" s="24">
        <f t="shared" si="2"/>
        <v>45328</v>
      </c>
      <c r="H5" s="24">
        <f t="shared" si="2"/>
        <v>45329</v>
      </c>
      <c r="I5" s="24">
        <f t="shared" ref="I5:K9" si="3">I4+7</f>
        <v>45330</v>
      </c>
      <c r="J5" s="24">
        <f t="shared" si="3"/>
        <v>45331</v>
      </c>
      <c r="K5" s="25">
        <f t="shared" si="3"/>
        <v>45332</v>
      </c>
      <c r="M5" s="3"/>
      <c r="N5" s="62">
        <f t="shared" ref="N5:N9" si="4">N4+7</f>
        <v>45354</v>
      </c>
      <c r="O5" s="53">
        <f t="shared" ref="O5:T9" si="5">O4+7</f>
        <v>45355</v>
      </c>
      <c r="P5" s="53">
        <f t="shared" si="5"/>
        <v>45356</v>
      </c>
      <c r="Q5" s="53">
        <f t="shared" si="5"/>
        <v>45357</v>
      </c>
      <c r="R5" s="53">
        <f t="shared" si="5"/>
        <v>45358</v>
      </c>
      <c r="S5" s="53">
        <f t="shared" si="5"/>
        <v>45359</v>
      </c>
      <c r="T5" s="63">
        <f t="shared" si="5"/>
        <v>45360</v>
      </c>
      <c r="U5" s="53"/>
      <c r="W5" s="116"/>
      <c r="X5" s="117"/>
      <c r="Y5" s="117"/>
      <c r="Z5" s="117"/>
      <c r="AA5" s="117"/>
      <c r="AB5" s="117"/>
      <c r="AC5" s="117"/>
      <c r="AD5" s="117"/>
      <c r="AE5" s="117"/>
      <c r="AF5" s="118"/>
      <c r="AG5" s="32"/>
      <c r="AI5" s="34" t="s">
        <v>10</v>
      </c>
      <c r="AJ5" s="124" t="s">
        <v>11</v>
      </c>
      <c r="AK5" s="124"/>
      <c r="AL5" s="124"/>
      <c r="AM5" s="124"/>
      <c r="AN5" s="124"/>
      <c r="AO5" s="124"/>
      <c r="AQ5" s="58" t="s">
        <v>56</v>
      </c>
      <c r="AR5" s="137" t="s">
        <v>42</v>
      </c>
      <c r="AS5" s="138"/>
      <c r="AT5" s="138"/>
      <c r="AU5" s="138"/>
      <c r="AV5" s="138"/>
      <c r="AW5" s="139"/>
    </row>
    <row r="6" spans="1:50" ht="21" customHeight="1" thickBot="1">
      <c r="A6" s="56"/>
      <c r="B6" s="78">
        <f>AY43-AY45+AY47</f>
        <v>0</v>
      </c>
      <c r="C6" s="77">
        <f>AY44-AY46+AY48</f>
        <v>0</v>
      </c>
      <c r="E6" s="23">
        <f t="shared" si="2"/>
        <v>45333</v>
      </c>
      <c r="F6" s="24">
        <f t="shared" si="2"/>
        <v>45334</v>
      </c>
      <c r="G6" s="24">
        <f t="shared" si="2"/>
        <v>45335</v>
      </c>
      <c r="H6" s="24">
        <f t="shared" si="2"/>
        <v>45336</v>
      </c>
      <c r="I6" s="24">
        <f t="shared" si="3"/>
        <v>45337</v>
      </c>
      <c r="J6" s="24">
        <f t="shared" si="3"/>
        <v>45338</v>
      </c>
      <c r="K6" s="25">
        <f t="shared" si="3"/>
        <v>45339</v>
      </c>
      <c r="M6" s="3"/>
      <c r="N6" s="62">
        <f t="shared" si="4"/>
        <v>45361</v>
      </c>
      <c r="O6" s="53">
        <f t="shared" si="5"/>
        <v>45362</v>
      </c>
      <c r="P6" s="53">
        <f t="shared" si="5"/>
        <v>45363</v>
      </c>
      <c r="Q6" s="53">
        <f t="shared" si="5"/>
        <v>45364</v>
      </c>
      <c r="R6" s="53">
        <f t="shared" si="5"/>
        <v>45365</v>
      </c>
      <c r="S6" s="53">
        <f t="shared" si="5"/>
        <v>45366</v>
      </c>
      <c r="T6" s="63">
        <f t="shared" si="5"/>
        <v>45367</v>
      </c>
      <c r="U6" s="53"/>
      <c r="W6" s="116"/>
      <c r="X6" s="117"/>
      <c r="Y6" s="117"/>
      <c r="Z6" s="117"/>
      <c r="AA6" s="117"/>
      <c r="AB6" s="117"/>
      <c r="AC6" s="117"/>
      <c r="AD6" s="117"/>
      <c r="AE6" s="117"/>
      <c r="AF6" s="118"/>
      <c r="AG6" s="32"/>
      <c r="AI6" s="33" t="s">
        <v>14</v>
      </c>
      <c r="AJ6" s="125" t="s">
        <v>74</v>
      </c>
      <c r="AK6" s="125"/>
      <c r="AL6" s="125"/>
      <c r="AM6" s="125"/>
      <c r="AN6" s="125"/>
      <c r="AO6" s="125"/>
      <c r="AQ6" s="59" t="s">
        <v>12</v>
      </c>
      <c r="AR6" s="140" t="s">
        <v>13</v>
      </c>
      <c r="AS6" s="141"/>
      <c r="AT6" s="141"/>
      <c r="AU6" s="141"/>
      <c r="AV6" s="141"/>
      <c r="AW6" s="142"/>
    </row>
    <row r="7" spans="1:50" ht="21" customHeight="1" thickBot="1">
      <c r="B7" s="134" t="s">
        <v>45</v>
      </c>
      <c r="C7" s="135"/>
      <c r="D7" s="4" t="s">
        <v>52</v>
      </c>
      <c r="E7" s="23">
        <f t="shared" si="2"/>
        <v>45340</v>
      </c>
      <c r="F7" s="24">
        <f t="shared" si="2"/>
        <v>45341</v>
      </c>
      <c r="G7" s="24">
        <f t="shared" si="2"/>
        <v>45342</v>
      </c>
      <c r="H7" s="24">
        <f t="shared" si="2"/>
        <v>45343</v>
      </c>
      <c r="I7" s="24">
        <f t="shared" si="3"/>
        <v>45344</v>
      </c>
      <c r="J7" s="24">
        <f t="shared" si="3"/>
        <v>45345</v>
      </c>
      <c r="K7" s="25">
        <f t="shared" si="3"/>
        <v>45346</v>
      </c>
      <c r="M7" s="3"/>
      <c r="N7" s="62">
        <f t="shared" si="4"/>
        <v>45368</v>
      </c>
      <c r="O7" s="53">
        <f t="shared" si="5"/>
        <v>45369</v>
      </c>
      <c r="P7" s="53">
        <f t="shared" si="5"/>
        <v>45370</v>
      </c>
      <c r="Q7" s="53">
        <f t="shared" si="5"/>
        <v>45371</v>
      </c>
      <c r="R7" s="53">
        <f t="shared" si="5"/>
        <v>45372</v>
      </c>
      <c r="S7" s="53">
        <f t="shared" si="5"/>
        <v>45373</v>
      </c>
      <c r="T7" s="63">
        <f t="shared" si="5"/>
        <v>45374</v>
      </c>
      <c r="U7" s="53"/>
      <c r="W7" s="116"/>
      <c r="X7" s="117"/>
      <c r="Y7" s="117"/>
      <c r="Z7" s="117"/>
      <c r="AA7" s="117"/>
      <c r="AB7" s="117"/>
      <c r="AC7" s="117"/>
      <c r="AD7" s="117"/>
      <c r="AE7" s="117"/>
      <c r="AF7" s="118"/>
      <c r="AG7" s="32"/>
      <c r="AI7" s="57" t="s">
        <v>43</v>
      </c>
      <c r="AJ7" s="126" t="s">
        <v>8</v>
      </c>
      <c r="AK7" s="126"/>
      <c r="AL7" s="126"/>
      <c r="AM7" s="126"/>
      <c r="AN7" s="126"/>
      <c r="AO7" s="127"/>
      <c r="AP7" s="92"/>
    </row>
    <row r="8" spans="1:50" ht="21" customHeight="1" thickBot="1">
      <c r="B8" s="78"/>
      <c r="C8" s="75">
        <f>COUNTIF(B11:AQ46,AI4)</f>
        <v>0</v>
      </c>
      <c r="E8" s="23">
        <f t="shared" si="2"/>
        <v>45347</v>
      </c>
      <c r="F8" s="24">
        <f t="shared" si="2"/>
        <v>45348</v>
      </c>
      <c r="G8" s="24">
        <f t="shared" si="2"/>
        <v>45349</v>
      </c>
      <c r="H8" s="24">
        <f t="shared" si="2"/>
        <v>45350</v>
      </c>
      <c r="I8" s="24">
        <f t="shared" si="3"/>
        <v>45351</v>
      </c>
      <c r="J8" s="24">
        <f t="shared" si="3"/>
        <v>45352</v>
      </c>
      <c r="K8" s="25">
        <f t="shared" si="3"/>
        <v>45353</v>
      </c>
      <c r="M8" s="3"/>
      <c r="N8" s="62">
        <f t="shared" si="4"/>
        <v>45375</v>
      </c>
      <c r="O8" s="53">
        <f t="shared" si="5"/>
        <v>45376</v>
      </c>
      <c r="P8" s="53">
        <f t="shared" si="5"/>
        <v>45377</v>
      </c>
      <c r="Q8" s="53">
        <f t="shared" si="5"/>
        <v>45378</v>
      </c>
      <c r="R8" s="53">
        <f t="shared" si="5"/>
        <v>45379</v>
      </c>
      <c r="S8" s="53">
        <f t="shared" si="5"/>
        <v>45380</v>
      </c>
      <c r="T8" s="63">
        <f t="shared" si="5"/>
        <v>45381</v>
      </c>
      <c r="U8" s="53"/>
      <c r="W8" s="116"/>
      <c r="X8" s="117"/>
      <c r="Y8" s="117"/>
      <c r="Z8" s="117"/>
      <c r="AA8" s="117"/>
      <c r="AB8" s="117"/>
      <c r="AC8" s="117"/>
      <c r="AD8" s="117"/>
      <c r="AE8" s="117"/>
      <c r="AF8" s="118"/>
      <c r="AG8" s="32"/>
      <c r="AI8" s="87" t="s">
        <v>9</v>
      </c>
      <c r="AJ8" s="128" t="s">
        <v>37</v>
      </c>
      <c r="AK8" s="128"/>
      <c r="AL8" s="128"/>
      <c r="AM8" s="128"/>
      <c r="AN8" s="128"/>
      <c r="AO8" s="128"/>
      <c r="AP8" s="128"/>
      <c r="AQ8" s="128"/>
      <c r="AR8" s="128"/>
      <c r="AS8" s="128"/>
      <c r="AT8" s="128"/>
      <c r="AU8" s="128"/>
      <c r="AV8" s="128"/>
      <c r="AW8" s="128"/>
      <c r="AX8" s="128"/>
    </row>
    <row r="9" spans="1:50" ht="21" customHeight="1" thickBot="1">
      <c r="B9" s="47"/>
      <c r="C9" s="47"/>
      <c r="E9" s="26">
        <f t="shared" si="2"/>
        <v>45354</v>
      </c>
      <c r="F9" s="27">
        <f t="shared" si="2"/>
        <v>45355</v>
      </c>
      <c r="G9" s="27">
        <f t="shared" si="2"/>
        <v>45356</v>
      </c>
      <c r="H9" s="27">
        <f t="shared" si="2"/>
        <v>45357</v>
      </c>
      <c r="I9" s="27">
        <f t="shared" si="3"/>
        <v>45358</v>
      </c>
      <c r="J9" s="27">
        <f t="shared" si="3"/>
        <v>45359</v>
      </c>
      <c r="K9" s="28">
        <f t="shared" si="3"/>
        <v>45360</v>
      </c>
      <c r="M9" s="3"/>
      <c r="N9" s="64">
        <f t="shared" si="4"/>
        <v>45382</v>
      </c>
      <c r="O9" s="65">
        <f t="shared" si="5"/>
        <v>45383</v>
      </c>
      <c r="P9" s="65">
        <f t="shared" si="5"/>
        <v>45384</v>
      </c>
      <c r="Q9" s="65">
        <f t="shared" si="5"/>
        <v>45385</v>
      </c>
      <c r="R9" s="65">
        <f t="shared" si="5"/>
        <v>45386</v>
      </c>
      <c r="S9" s="65">
        <f t="shared" si="5"/>
        <v>45387</v>
      </c>
      <c r="T9" s="66">
        <f t="shared" si="5"/>
        <v>45388</v>
      </c>
      <c r="U9" s="53"/>
      <c r="W9" s="119"/>
      <c r="X9" s="120"/>
      <c r="Y9" s="120"/>
      <c r="Z9" s="120"/>
      <c r="AA9" s="120"/>
      <c r="AB9" s="120"/>
      <c r="AC9" s="120"/>
      <c r="AD9" s="120"/>
      <c r="AE9" s="120"/>
      <c r="AF9" s="121"/>
      <c r="AG9" s="32"/>
      <c r="AI9" s="91" t="s">
        <v>72</v>
      </c>
      <c r="AJ9" s="125" t="s">
        <v>71</v>
      </c>
      <c r="AK9" s="125"/>
      <c r="AL9" s="125"/>
      <c r="AM9" s="125"/>
      <c r="AN9" s="125"/>
      <c r="AO9" s="125"/>
      <c r="AP9" s="125"/>
      <c r="AQ9" s="125"/>
      <c r="AR9" s="125"/>
      <c r="AS9" s="125"/>
      <c r="AT9" s="125"/>
      <c r="AU9" s="125"/>
      <c r="AV9" s="125"/>
      <c r="AW9" s="125"/>
      <c r="AX9" s="125"/>
    </row>
    <row r="10" spans="1:50" ht="21" customHeight="1" thickBot="1">
      <c r="B10" s="47"/>
      <c r="C10" s="47"/>
      <c r="D10" s="54"/>
      <c r="E10" s="54"/>
      <c r="F10" s="54"/>
      <c r="G10" s="54"/>
      <c r="H10" s="52"/>
      <c r="I10" s="52"/>
      <c r="J10" s="54"/>
      <c r="K10" s="54"/>
      <c r="L10" s="54"/>
      <c r="M10" s="54"/>
      <c r="N10" s="52"/>
      <c r="O10" s="52"/>
      <c r="P10" s="54"/>
      <c r="Q10" s="54"/>
      <c r="R10" s="54"/>
      <c r="S10" s="54"/>
      <c r="T10" s="52"/>
      <c r="U10" s="52"/>
      <c r="V10" s="52"/>
      <c r="W10" s="52"/>
      <c r="X10" s="52"/>
      <c r="Y10" s="52"/>
      <c r="Z10" s="47"/>
      <c r="AA10" s="54"/>
      <c r="AB10" s="54"/>
      <c r="AC10" s="54"/>
      <c r="AD10" s="54"/>
      <c r="AE10" s="52"/>
      <c r="AF10" s="54"/>
      <c r="AG10" s="54"/>
      <c r="AI10" s="90" t="s">
        <v>15</v>
      </c>
      <c r="AJ10" s="129" t="s">
        <v>76</v>
      </c>
      <c r="AK10" s="129"/>
      <c r="AL10" s="129"/>
      <c r="AM10" s="129"/>
      <c r="AN10" s="129"/>
      <c r="AO10" s="129"/>
      <c r="AP10" s="129"/>
      <c r="AQ10" s="129"/>
      <c r="AR10" s="129"/>
      <c r="AS10" s="129"/>
      <c r="AT10" s="129"/>
      <c r="AU10" s="129"/>
      <c r="AV10" s="129"/>
      <c r="AW10" s="129"/>
      <c r="AX10" s="129"/>
    </row>
    <row r="11" spans="1:50" ht="23.65" customHeight="1">
      <c r="A11" s="104">
        <f>P51</f>
        <v>0.33333333333333331</v>
      </c>
      <c r="B11" s="55"/>
      <c r="C11" s="70"/>
      <c r="D11" s="98"/>
      <c r="E11" s="99"/>
      <c r="F11" s="99"/>
      <c r="G11" s="99"/>
      <c r="H11" s="99"/>
      <c r="I11" s="100"/>
      <c r="J11" s="55"/>
      <c r="K11" s="70"/>
      <c r="L11" s="98"/>
      <c r="M11" s="99"/>
      <c r="N11" s="99"/>
      <c r="O11" s="99"/>
      <c r="P11" s="99"/>
      <c r="Q11" s="100"/>
      <c r="R11" s="55"/>
      <c r="S11" s="70"/>
      <c r="T11" s="98"/>
      <c r="U11" s="99"/>
      <c r="V11" s="99"/>
      <c r="W11" s="99"/>
      <c r="X11" s="99"/>
      <c r="Y11" s="100"/>
      <c r="Z11" s="55"/>
      <c r="AA11" s="70"/>
      <c r="AB11" s="98"/>
      <c r="AC11" s="99"/>
      <c r="AD11" s="99"/>
      <c r="AE11" s="99"/>
      <c r="AF11" s="99"/>
      <c r="AG11" s="100"/>
      <c r="AH11" s="55"/>
      <c r="AI11" s="70"/>
      <c r="AJ11" s="98"/>
      <c r="AK11" s="99"/>
      <c r="AL11" s="99"/>
      <c r="AM11" s="99"/>
      <c r="AN11" s="99"/>
      <c r="AO11" s="100"/>
      <c r="AP11" s="55"/>
      <c r="AQ11" s="70"/>
      <c r="AR11" s="98"/>
      <c r="AS11" s="99"/>
      <c r="AT11" s="99"/>
      <c r="AU11" s="99"/>
      <c r="AV11" s="99"/>
      <c r="AW11" s="130"/>
    </row>
    <row r="12" spans="1:50" ht="23.65" customHeight="1" thickBot="1">
      <c r="A12" s="105"/>
      <c r="B12" s="71"/>
      <c r="C12" s="72"/>
      <c r="D12" s="101"/>
      <c r="E12" s="102"/>
      <c r="F12" s="102"/>
      <c r="G12" s="102"/>
      <c r="H12" s="102"/>
      <c r="I12" s="103"/>
      <c r="J12" s="71"/>
      <c r="K12" s="72"/>
      <c r="L12" s="101"/>
      <c r="M12" s="102"/>
      <c r="N12" s="102"/>
      <c r="O12" s="102"/>
      <c r="P12" s="102"/>
      <c r="Q12" s="103"/>
      <c r="R12" s="71"/>
      <c r="S12" s="72"/>
      <c r="T12" s="101"/>
      <c r="U12" s="102"/>
      <c r="V12" s="102"/>
      <c r="W12" s="102"/>
      <c r="X12" s="102"/>
      <c r="Y12" s="103"/>
      <c r="Z12" s="71"/>
      <c r="AA12" s="72"/>
      <c r="AB12" s="101"/>
      <c r="AC12" s="102"/>
      <c r="AD12" s="102"/>
      <c r="AE12" s="102"/>
      <c r="AF12" s="102"/>
      <c r="AG12" s="103"/>
      <c r="AH12" s="71"/>
      <c r="AI12" s="72"/>
      <c r="AJ12" s="101"/>
      <c r="AK12" s="102"/>
      <c r="AL12" s="102"/>
      <c r="AM12" s="102"/>
      <c r="AN12" s="102"/>
      <c r="AO12" s="103"/>
      <c r="AP12" s="71"/>
      <c r="AQ12" s="72"/>
      <c r="AR12" s="101"/>
      <c r="AS12" s="102"/>
      <c r="AT12" s="102"/>
      <c r="AU12" s="102"/>
      <c r="AV12" s="102"/>
      <c r="AW12" s="131"/>
    </row>
    <row r="13" spans="1:50" ht="23.65" customHeight="1">
      <c r="A13" s="106">
        <f>A11+$W$51/1440</f>
        <v>0.35416666666666663</v>
      </c>
      <c r="B13" s="55"/>
      <c r="C13" s="70"/>
      <c r="D13" s="98"/>
      <c r="E13" s="99"/>
      <c r="F13" s="99"/>
      <c r="G13" s="99"/>
      <c r="H13" s="99"/>
      <c r="I13" s="100"/>
      <c r="J13" s="55"/>
      <c r="K13" s="70"/>
      <c r="L13" s="98"/>
      <c r="M13" s="99"/>
      <c r="N13" s="99"/>
      <c r="O13" s="99"/>
      <c r="P13" s="99"/>
      <c r="Q13" s="100"/>
      <c r="R13" s="55"/>
      <c r="S13" s="70"/>
      <c r="T13" s="98"/>
      <c r="U13" s="99"/>
      <c r="V13" s="99"/>
      <c r="W13" s="99"/>
      <c r="X13" s="99"/>
      <c r="Y13" s="100"/>
      <c r="Z13" s="55"/>
      <c r="AA13" s="70"/>
      <c r="AB13" s="98"/>
      <c r="AC13" s="99"/>
      <c r="AD13" s="99"/>
      <c r="AE13" s="99"/>
      <c r="AF13" s="99"/>
      <c r="AG13" s="100"/>
      <c r="AH13" s="55"/>
      <c r="AI13" s="70"/>
      <c r="AJ13" s="98"/>
      <c r="AK13" s="99"/>
      <c r="AL13" s="99"/>
      <c r="AM13" s="99"/>
      <c r="AN13" s="99"/>
      <c r="AO13" s="100"/>
      <c r="AP13" s="55"/>
      <c r="AQ13" s="70"/>
      <c r="AR13" s="98"/>
      <c r="AS13" s="99"/>
      <c r="AT13" s="99"/>
      <c r="AU13" s="99"/>
      <c r="AV13" s="99"/>
      <c r="AW13" s="130"/>
    </row>
    <row r="14" spans="1:50" ht="23.65" customHeight="1" thickBot="1">
      <c r="A14" s="107"/>
      <c r="B14" s="71"/>
      <c r="C14" s="72"/>
      <c r="D14" s="101"/>
      <c r="E14" s="102"/>
      <c r="F14" s="102"/>
      <c r="G14" s="102"/>
      <c r="H14" s="102"/>
      <c r="I14" s="103"/>
      <c r="J14" s="71"/>
      <c r="K14" s="72"/>
      <c r="L14" s="101"/>
      <c r="M14" s="102"/>
      <c r="N14" s="102"/>
      <c r="O14" s="102"/>
      <c r="P14" s="102"/>
      <c r="Q14" s="103"/>
      <c r="R14" s="71"/>
      <c r="S14" s="72"/>
      <c r="T14" s="101"/>
      <c r="U14" s="102"/>
      <c r="V14" s="102"/>
      <c r="W14" s="102"/>
      <c r="X14" s="102"/>
      <c r="Y14" s="103"/>
      <c r="Z14" s="71"/>
      <c r="AA14" s="72"/>
      <c r="AB14" s="101"/>
      <c r="AC14" s="102"/>
      <c r="AD14" s="102"/>
      <c r="AE14" s="102"/>
      <c r="AF14" s="102"/>
      <c r="AG14" s="103"/>
      <c r="AH14" s="71"/>
      <c r="AI14" s="72"/>
      <c r="AJ14" s="101"/>
      <c r="AK14" s="102"/>
      <c r="AL14" s="102"/>
      <c r="AM14" s="102"/>
      <c r="AN14" s="102"/>
      <c r="AO14" s="103"/>
      <c r="AP14" s="71"/>
      <c r="AQ14" s="72"/>
      <c r="AR14" s="101"/>
      <c r="AS14" s="102"/>
      <c r="AT14" s="102"/>
      <c r="AU14" s="102"/>
      <c r="AV14" s="102"/>
      <c r="AW14" s="131"/>
    </row>
    <row r="15" spans="1:50" ht="23.65" customHeight="1">
      <c r="A15" s="106">
        <f>A13+$W$51/1440</f>
        <v>0.37499999999999994</v>
      </c>
      <c r="B15" s="55"/>
      <c r="C15" s="70"/>
      <c r="D15" s="98"/>
      <c r="E15" s="99"/>
      <c r="F15" s="99"/>
      <c r="G15" s="99"/>
      <c r="H15" s="99"/>
      <c r="I15" s="100"/>
      <c r="J15" s="55"/>
      <c r="K15" s="70"/>
      <c r="L15" s="98"/>
      <c r="M15" s="99"/>
      <c r="N15" s="99"/>
      <c r="O15" s="99"/>
      <c r="P15" s="99"/>
      <c r="Q15" s="100"/>
      <c r="R15" s="55"/>
      <c r="S15" s="70"/>
      <c r="T15" s="98"/>
      <c r="U15" s="99"/>
      <c r="V15" s="99"/>
      <c r="W15" s="99"/>
      <c r="X15" s="99"/>
      <c r="Y15" s="100"/>
      <c r="Z15" s="55"/>
      <c r="AA15" s="70"/>
      <c r="AB15" s="98"/>
      <c r="AC15" s="99"/>
      <c r="AD15" s="99"/>
      <c r="AE15" s="99"/>
      <c r="AF15" s="99"/>
      <c r="AG15" s="100"/>
      <c r="AH15" s="55"/>
      <c r="AI15" s="70"/>
      <c r="AJ15" s="98"/>
      <c r="AK15" s="99"/>
      <c r="AL15" s="99"/>
      <c r="AM15" s="99"/>
      <c r="AN15" s="99"/>
      <c r="AO15" s="100"/>
      <c r="AP15" s="55"/>
      <c r="AQ15" s="70"/>
      <c r="AR15" s="98"/>
      <c r="AS15" s="99"/>
      <c r="AT15" s="99"/>
      <c r="AU15" s="99"/>
      <c r="AV15" s="99"/>
      <c r="AW15" s="130"/>
    </row>
    <row r="16" spans="1:50" ht="23.65" customHeight="1" thickBot="1">
      <c r="A16" s="107"/>
      <c r="B16" s="71"/>
      <c r="C16" s="72"/>
      <c r="D16" s="101"/>
      <c r="E16" s="102"/>
      <c r="F16" s="102"/>
      <c r="G16" s="102"/>
      <c r="H16" s="102"/>
      <c r="I16" s="103"/>
      <c r="J16" s="71"/>
      <c r="K16" s="72"/>
      <c r="L16" s="101"/>
      <c r="M16" s="102"/>
      <c r="N16" s="102"/>
      <c r="O16" s="102"/>
      <c r="P16" s="102"/>
      <c r="Q16" s="103"/>
      <c r="R16" s="71"/>
      <c r="S16" s="72"/>
      <c r="T16" s="101"/>
      <c r="U16" s="102"/>
      <c r="V16" s="102"/>
      <c r="W16" s="102"/>
      <c r="X16" s="102"/>
      <c r="Y16" s="103"/>
      <c r="Z16" s="71"/>
      <c r="AA16" s="72"/>
      <c r="AB16" s="101"/>
      <c r="AC16" s="102"/>
      <c r="AD16" s="102"/>
      <c r="AE16" s="102"/>
      <c r="AF16" s="102"/>
      <c r="AG16" s="103"/>
      <c r="AH16" s="71"/>
      <c r="AI16" s="72"/>
      <c r="AJ16" s="101"/>
      <c r="AK16" s="102"/>
      <c r="AL16" s="102"/>
      <c r="AM16" s="102"/>
      <c r="AN16" s="102"/>
      <c r="AO16" s="103"/>
      <c r="AP16" s="71"/>
      <c r="AQ16" s="72"/>
      <c r="AR16" s="101"/>
      <c r="AS16" s="102"/>
      <c r="AT16" s="102"/>
      <c r="AU16" s="102"/>
      <c r="AV16" s="102"/>
      <c r="AW16" s="131"/>
    </row>
    <row r="17" spans="1:49" ht="23.65" customHeight="1">
      <c r="A17" s="106">
        <f>A15+$W$51/1440</f>
        <v>0.39583333333333326</v>
      </c>
      <c r="B17" s="55"/>
      <c r="C17" s="70"/>
      <c r="D17" s="98"/>
      <c r="E17" s="99"/>
      <c r="F17" s="99"/>
      <c r="G17" s="99"/>
      <c r="H17" s="99"/>
      <c r="I17" s="100"/>
      <c r="J17" s="55"/>
      <c r="K17" s="70"/>
      <c r="L17" s="98"/>
      <c r="M17" s="99"/>
      <c r="N17" s="99"/>
      <c r="O17" s="99"/>
      <c r="P17" s="99"/>
      <c r="Q17" s="100"/>
      <c r="R17" s="55"/>
      <c r="S17" s="70"/>
      <c r="T17" s="98"/>
      <c r="U17" s="99"/>
      <c r="V17" s="99"/>
      <c r="W17" s="99"/>
      <c r="X17" s="99"/>
      <c r="Y17" s="100"/>
      <c r="Z17" s="55"/>
      <c r="AA17" s="70"/>
      <c r="AB17" s="98"/>
      <c r="AC17" s="99"/>
      <c r="AD17" s="99"/>
      <c r="AE17" s="99"/>
      <c r="AF17" s="99"/>
      <c r="AG17" s="100"/>
      <c r="AH17" s="55"/>
      <c r="AI17" s="70"/>
      <c r="AJ17" s="98"/>
      <c r="AK17" s="99"/>
      <c r="AL17" s="99"/>
      <c r="AM17" s="99"/>
      <c r="AN17" s="99"/>
      <c r="AO17" s="100"/>
      <c r="AP17" s="55"/>
      <c r="AQ17" s="70"/>
      <c r="AR17" s="98"/>
      <c r="AS17" s="99"/>
      <c r="AT17" s="99"/>
      <c r="AU17" s="99"/>
      <c r="AV17" s="99"/>
      <c r="AW17" s="130"/>
    </row>
    <row r="18" spans="1:49" ht="23.65" customHeight="1" thickBot="1">
      <c r="A18" s="107"/>
      <c r="B18" s="71"/>
      <c r="C18" s="72"/>
      <c r="D18" s="101"/>
      <c r="E18" s="102"/>
      <c r="F18" s="102"/>
      <c r="G18" s="102"/>
      <c r="H18" s="102"/>
      <c r="I18" s="103"/>
      <c r="J18" s="71"/>
      <c r="K18" s="72"/>
      <c r="L18" s="101"/>
      <c r="M18" s="102"/>
      <c r="N18" s="102"/>
      <c r="O18" s="102"/>
      <c r="P18" s="102"/>
      <c r="Q18" s="103"/>
      <c r="R18" s="71"/>
      <c r="S18" s="72"/>
      <c r="T18" s="101"/>
      <c r="U18" s="102"/>
      <c r="V18" s="102"/>
      <c r="W18" s="102"/>
      <c r="X18" s="102"/>
      <c r="Y18" s="103"/>
      <c r="Z18" s="71"/>
      <c r="AA18" s="72"/>
      <c r="AB18" s="101"/>
      <c r="AC18" s="102"/>
      <c r="AD18" s="102"/>
      <c r="AE18" s="102"/>
      <c r="AF18" s="102"/>
      <c r="AG18" s="103"/>
      <c r="AH18" s="71"/>
      <c r="AI18" s="72"/>
      <c r="AJ18" s="101"/>
      <c r="AK18" s="102"/>
      <c r="AL18" s="102"/>
      <c r="AM18" s="102"/>
      <c r="AN18" s="102"/>
      <c r="AO18" s="103"/>
      <c r="AP18" s="71"/>
      <c r="AQ18" s="72"/>
      <c r="AR18" s="101"/>
      <c r="AS18" s="102"/>
      <c r="AT18" s="102"/>
      <c r="AU18" s="102"/>
      <c r="AV18" s="102"/>
      <c r="AW18" s="131"/>
    </row>
    <row r="19" spans="1:49" ht="23.65" customHeight="1">
      <c r="A19" s="106">
        <f>A17+$W$51/1440</f>
        <v>0.41666666666666657</v>
      </c>
      <c r="B19" s="55"/>
      <c r="C19" s="70"/>
      <c r="D19" s="98"/>
      <c r="E19" s="99"/>
      <c r="F19" s="99"/>
      <c r="G19" s="99"/>
      <c r="H19" s="99"/>
      <c r="I19" s="100"/>
      <c r="J19" s="55"/>
      <c r="K19" s="70"/>
      <c r="L19" s="98"/>
      <c r="M19" s="99"/>
      <c r="N19" s="99"/>
      <c r="O19" s="99"/>
      <c r="P19" s="99"/>
      <c r="Q19" s="100"/>
      <c r="R19" s="55"/>
      <c r="S19" s="70"/>
      <c r="T19" s="98"/>
      <c r="U19" s="99"/>
      <c r="V19" s="99"/>
      <c r="W19" s="99"/>
      <c r="X19" s="99"/>
      <c r="Y19" s="100"/>
      <c r="Z19" s="55"/>
      <c r="AA19" s="70"/>
      <c r="AB19" s="98"/>
      <c r="AC19" s="99"/>
      <c r="AD19" s="99"/>
      <c r="AE19" s="99"/>
      <c r="AF19" s="99"/>
      <c r="AG19" s="100"/>
      <c r="AH19" s="55"/>
      <c r="AI19" s="70"/>
      <c r="AJ19" s="98"/>
      <c r="AK19" s="99"/>
      <c r="AL19" s="99"/>
      <c r="AM19" s="99"/>
      <c r="AN19" s="99"/>
      <c r="AO19" s="100"/>
      <c r="AP19" s="55"/>
      <c r="AQ19" s="70"/>
      <c r="AR19" s="98"/>
      <c r="AS19" s="99"/>
      <c r="AT19" s="99"/>
      <c r="AU19" s="99"/>
      <c r="AV19" s="99"/>
      <c r="AW19" s="130"/>
    </row>
    <row r="20" spans="1:49" ht="23.65" customHeight="1" thickBot="1">
      <c r="A20" s="107"/>
      <c r="B20" s="71"/>
      <c r="C20" s="72"/>
      <c r="D20" s="101"/>
      <c r="E20" s="102"/>
      <c r="F20" s="102"/>
      <c r="G20" s="102"/>
      <c r="H20" s="102"/>
      <c r="I20" s="103"/>
      <c r="J20" s="71"/>
      <c r="K20" s="72"/>
      <c r="L20" s="101"/>
      <c r="M20" s="102"/>
      <c r="N20" s="102"/>
      <c r="O20" s="102"/>
      <c r="P20" s="102"/>
      <c r="Q20" s="103"/>
      <c r="R20" s="71"/>
      <c r="S20" s="72"/>
      <c r="T20" s="101"/>
      <c r="U20" s="102"/>
      <c r="V20" s="102"/>
      <c r="W20" s="102"/>
      <c r="X20" s="102"/>
      <c r="Y20" s="103"/>
      <c r="Z20" s="71"/>
      <c r="AA20" s="72"/>
      <c r="AB20" s="101"/>
      <c r="AC20" s="102"/>
      <c r="AD20" s="102"/>
      <c r="AE20" s="102"/>
      <c r="AF20" s="102"/>
      <c r="AG20" s="103"/>
      <c r="AH20" s="71"/>
      <c r="AI20" s="72"/>
      <c r="AJ20" s="101"/>
      <c r="AK20" s="102"/>
      <c r="AL20" s="102"/>
      <c r="AM20" s="102"/>
      <c r="AN20" s="102"/>
      <c r="AO20" s="103"/>
      <c r="AP20" s="71"/>
      <c r="AQ20" s="72"/>
      <c r="AR20" s="101"/>
      <c r="AS20" s="102"/>
      <c r="AT20" s="102"/>
      <c r="AU20" s="102"/>
      <c r="AV20" s="102"/>
      <c r="AW20" s="131"/>
    </row>
    <row r="21" spans="1:49" ht="23.65" customHeight="1">
      <c r="A21" s="106">
        <f>A19+$W$51/1440</f>
        <v>0.43749999999999989</v>
      </c>
      <c r="B21" s="55"/>
      <c r="C21" s="70"/>
      <c r="D21" s="98"/>
      <c r="E21" s="99"/>
      <c r="F21" s="99"/>
      <c r="G21" s="99"/>
      <c r="H21" s="99"/>
      <c r="I21" s="100"/>
      <c r="J21" s="55"/>
      <c r="K21" s="70"/>
      <c r="L21" s="98"/>
      <c r="M21" s="99"/>
      <c r="N21" s="99"/>
      <c r="O21" s="99"/>
      <c r="P21" s="99"/>
      <c r="Q21" s="100"/>
      <c r="R21" s="55"/>
      <c r="S21" s="70"/>
      <c r="T21" s="98"/>
      <c r="U21" s="99"/>
      <c r="V21" s="99"/>
      <c r="W21" s="99"/>
      <c r="X21" s="99"/>
      <c r="Y21" s="100"/>
      <c r="Z21" s="55"/>
      <c r="AA21" s="70"/>
      <c r="AB21" s="98"/>
      <c r="AC21" s="99"/>
      <c r="AD21" s="99"/>
      <c r="AE21" s="99"/>
      <c r="AF21" s="99"/>
      <c r="AG21" s="100"/>
      <c r="AH21" s="55"/>
      <c r="AI21" s="70"/>
      <c r="AJ21" s="98"/>
      <c r="AK21" s="99"/>
      <c r="AL21" s="99"/>
      <c r="AM21" s="99"/>
      <c r="AN21" s="99"/>
      <c r="AO21" s="100"/>
      <c r="AP21" s="55"/>
      <c r="AQ21" s="70"/>
      <c r="AR21" s="98"/>
      <c r="AS21" s="99"/>
      <c r="AT21" s="99"/>
      <c r="AU21" s="99"/>
      <c r="AV21" s="99"/>
      <c r="AW21" s="130"/>
    </row>
    <row r="22" spans="1:49" ht="23.65" customHeight="1" thickBot="1">
      <c r="A22" s="107"/>
      <c r="B22" s="71"/>
      <c r="C22" s="72"/>
      <c r="D22" s="101"/>
      <c r="E22" s="102"/>
      <c r="F22" s="102"/>
      <c r="G22" s="102"/>
      <c r="H22" s="102"/>
      <c r="I22" s="103"/>
      <c r="J22" s="71"/>
      <c r="K22" s="72"/>
      <c r="L22" s="101"/>
      <c r="M22" s="102"/>
      <c r="N22" s="102"/>
      <c r="O22" s="102"/>
      <c r="P22" s="102"/>
      <c r="Q22" s="103"/>
      <c r="R22" s="71"/>
      <c r="S22" s="72"/>
      <c r="T22" s="101"/>
      <c r="U22" s="102"/>
      <c r="V22" s="102"/>
      <c r="W22" s="102"/>
      <c r="X22" s="102"/>
      <c r="Y22" s="103"/>
      <c r="Z22" s="71"/>
      <c r="AA22" s="72"/>
      <c r="AB22" s="101"/>
      <c r="AC22" s="102"/>
      <c r="AD22" s="102"/>
      <c r="AE22" s="102"/>
      <c r="AF22" s="102"/>
      <c r="AG22" s="103"/>
      <c r="AH22" s="71"/>
      <c r="AI22" s="72"/>
      <c r="AJ22" s="101"/>
      <c r="AK22" s="102"/>
      <c r="AL22" s="102"/>
      <c r="AM22" s="102"/>
      <c r="AN22" s="102"/>
      <c r="AO22" s="103"/>
      <c r="AP22" s="71"/>
      <c r="AQ22" s="72"/>
      <c r="AR22" s="101"/>
      <c r="AS22" s="102"/>
      <c r="AT22" s="102"/>
      <c r="AU22" s="102"/>
      <c r="AV22" s="102"/>
      <c r="AW22" s="131"/>
    </row>
    <row r="23" spans="1:49" ht="23.65" customHeight="1">
      <c r="A23" s="106">
        <f>A21+$W$51/1440</f>
        <v>0.4583333333333332</v>
      </c>
      <c r="B23" s="55"/>
      <c r="C23" s="70"/>
      <c r="D23" s="98"/>
      <c r="E23" s="99"/>
      <c r="F23" s="99"/>
      <c r="G23" s="99"/>
      <c r="H23" s="99"/>
      <c r="I23" s="100"/>
      <c r="J23" s="55"/>
      <c r="K23" s="70"/>
      <c r="L23" s="98"/>
      <c r="M23" s="99"/>
      <c r="N23" s="99"/>
      <c r="O23" s="99"/>
      <c r="P23" s="99"/>
      <c r="Q23" s="100"/>
      <c r="R23" s="55"/>
      <c r="S23" s="70"/>
      <c r="T23" s="98"/>
      <c r="U23" s="99"/>
      <c r="V23" s="99"/>
      <c r="W23" s="99"/>
      <c r="X23" s="99"/>
      <c r="Y23" s="100"/>
      <c r="Z23" s="55"/>
      <c r="AA23" s="70"/>
      <c r="AB23" s="98"/>
      <c r="AC23" s="99"/>
      <c r="AD23" s="99"/>
      <c r="AE23" s="99"/>
      <c r="AF23" s="99"/>
      <c r="AG23" s="100"/>
      <c r="AH23" s="55"/>
      <c r="AI23" s="70"/>
      <c r="AJ23" s="98"/>
      <c r="AK23" s="99"/>
      <c r="AL23" s="99"/>
      <c r="AM23" s="99"/>
      <c r="AN23" s="99"/>
      <c r="AO23" s="100"/>
      <c r="AP23" s="55"/>
      <c r="AQ23" s="70"/>
      <c r="AR23" s="98"/>
      <c r="AS23" s="99"/>
      <c r="AT23" s="99"/>
      <c r="AU23" s="99"/>
      <c r="AV23" s="99"/>
      <c r="AW23" s="130"/>
    </row>
    <row r="24" spans="1:49" ht="23.65" customHeight="1" thickBot="1">
      <c r="A24" s="107"/>
      <c r="B24" s="71"/>
      <c r="C24" s="72"/>
      <c r="D24" s="101"/>
      <c r="E24" s="102"/>
      <c r="F24" s="102"/>
      <c r="G24" s="102"/>
      <c r="H24" s="102"/>
      <c r="I24" s="103"/>
      <c r="J24" s="71"/>
      <c r="K24" s="72"/>
      <c r="L24" s="101"/>
      <c r="M24" s="102"/>
      <c r="N24" s="102"/>
      <c r="O24" s="102"/>
      <c r="P24" s="102"/>
      <c r="Q24" s="103"/>
      <c r="R24" s="71"/>
      <c r="S24" s="72"/>
      <c r="T24" s="101"/>
      <c r="U24" s="102"/>
      <c r="V24" s="102"/>
      <c r="W24" s="102"/>
      <c r="X24" s="102"/>
      <c r="Y24" s="103"/>
      <c r="Z24" s="71"/>
      <c r="AA24" s="72"/>
      <c r="AB24" s="101"/>
      <c r="AC24" s="102"/>
      <c r="AD24" s="102"/>
      <c r="AE24" s="102"/>
      <c r="AF24" s="102"/>
      <c r="AG24" s="103"/>
      <c r="AH24" s="71"/>
      <c r="AI24" s="72"/>
      <c r="AJ24" s="101"/>
      <c r="AK24" s="102"/>
      <c r="AL24" s="102"/>
      <c r="AM24" s="102"/>
      <c r="AN24" s="102"/>
      <c r="AO24" s="103"/>
      <c r="AP24" s="71"/>
      <c r="AQ24" s="72"/>
      <c r="AR24" s="101"/>
      <c r="AS24" s="102"/>
      <c r="AT24" s="102"/>
      <c r="AU24" s="102"/>
      <c r="AV24" s="102"/>
      <c r="AW24" s="131"/>
    </row>
    <row r="25" spans="1:49" ht="23.65" customHeight="1">
      <c r="A25" s="106">
        <f>A23+$W$51/1440</f>
        <v>0.47916666666666652</v>
      </c>
      <c r="B25" s="55"/>
      <c r="C25" s="70"/>
      <c r="D25" s="98"/>
      <c r="E25" s="99"/>
      <c r="F25" s="99"/>
      <c r="G25" s="99"/>
      <c r="H25" s="99"/>
      <c r="I25" s="100"/>
      <c r="J25" s="55"/>
      <c r="K25" s="70"/>
      <c r="L25" s="98"/>
      <c r="M25" s="99"/>
      <c r="N25" s="99"/>
      <c r="O25" s="99"/>
      <c r="P25" s="99"/>
      <c r="Q25" s="100"/>
      <c r="R25" s="55"/>
      <c r="S25" s="70"/>
      <c r="T25" s="98"/>
      <c r="U25" s="99"/>
      <c r="V25" s="99"/>
      <c r="W25" s="99"/>
      <c r="X25" s="99"/>
      <c r="Y25" s="100"/>
      <c r="Z25" s="55"/>
      <c r="AA25" s="70"/>
      <c r="AB25" s="98"/>
      <c r="AC25" s="99"/>
      <c r="AD25" s="99"/>
      <c r="AE25" s="99"/>
      <c r="AF25" s="99"/>
      <c r="AG25" s="100"/>
      <c r="AH25" s="55"/>
      <c r="AI25" s="70"/>
      <c r="AJ25" s="98"/>
      <c r="AK25" s="99"/>
      <c r="AL25" s="99"/>
      <c r="AM25" s="99"/>
      <c r="AN25" s="99"/>
      <c r="AO25" s="100"/>
      <c r="AP25" s="55"/>
      <c r="AQ25" s="70"/>
      <c r="AR25" s="98"/>
      <c r="AS25" s="99"/>
      <c r="AT25" s="99"/>
      <c r="AU25" s="99"/>
      <c r="AV25" s="99"/>
      <c r="AW25" s="130"/>
    </row>
    <row r="26" spans="1:49" ht="23.65" customHeight="1" thickBot="1">
      <c r="A26" s="107"/>
      <c r="B26" s="71"/>
      <c r="C26" s="72"/>
      <c r="D26" s="101"/>
      <c r="E26" s="102"/>
      <c r="F26" s="102"/>
      <c r="G26" s="102"/>
      <c r="H26" s="102"/>
      <c r="I26" s="103"/>
      <c r="J26" s="71"/>
      <c r="K26" s="72"/>
      <c r="L26" s="101"/>
      <c r="M26" s="102"/>
      <c r="N26" s="102"/>
      <c r="O26" s="102"/>
      <c r="P26" s="102"/>
      <c r="Q26" s="103"/>
      <c r="R26" s="71"/>
      <c r="S26" s="72"/>
      <c r="T26" s="101"/>
      <c r="U26" s="102"/>
      <c r="V26" s="102"/>
      <c r="W26" s="102"/>
      <c r="X26" s="102"/>
      <c r="Y26" s="103"/>
      <c r="Z26" s="71"/>
      <c r="AA26" s="72"/>
      <c r="AB26" s="101"/>
      <c r="AC26" s="102"/>
      <c r="AD26" s="102"/>
      <c r="AE26" s="102"/>
      <c r="AF26" s="102"/>
      <c r="AG26" s="103"/>
      <c r="AH26" s="71"/>
      <c r="AI26" s="72"/>
      <c r="AJ26" s="101"/>
      <c r="AK26" s="102"/>
      <c r="AL26" s="102"/>
      <c r="AM26" s="102"/>
      <c r="AN26" s="102"/>
      <c r="AO26" s="103"/>
      <c r="AP26" s="71"/>
      <c r="AQ26" s="72"/>
      <c r="AR26" s="101"/>
      <c r="AS26" s="102"/>
      <c r="AT26" s="102"/>
      <c r="AU26" s="102"/>
      <c r="AV26" s="102"/>
      <c r="AW26" s="131"/>
    </row>
    <row r="27" spans="1:49" ht="23.65" customHeight="1">
      <c r="A27" s="106">
        <f>A25+$W$51/1440</f>
        <v>0.49999999999999983</v>
      </c>
      <c r="B27" s="55"/>
      <c r="C27" s="70"/>
      <c r="D27" s="98"/>
      <c r="E27" s="99"/>
      <c r="F27" s="99"/>
      <c r="G27" s="99"/>
      <c r="H27" s="99"/>
      <c r="I27" s="100"/>
      <c r="J27" s="55"/>
      <c r="K27" s="70"/>
      <c r="L27" s="98"/>
      <c r="M27" s="99"/>
      <c r="N27" s="99"/>
      <c r="O27" s="99"/>
      <c r="P27" s="99"/>
      <c r="Q27" s="100"/>
      <c r="R27" s="55"/>
      <c r="S27" s="70"/>
      <c r="T27" s="98"/>
      <c r="U27" s="99"/>
      <c r="V27" s="99"/>
      <c r="W27" s="99"/>
      <c r="X27" s="99"/>
      <c r="Y27" s="100"/>
      <c r="Z27" s="55"/>
      <c r="AA27" s="70"/>
      <c r="AB27" s="98"/>
      <c r="AC27" s="99"/>
      <c r="AD27" s="99"/>
      <c r="AE27" s="99"/>
      <c r="AF27" s="99"/>
      <c r="AG27" s="100"/>
      <c r="AH27" s="55"/>
      <c r="AI27" s="70"/>
      <c r="AJ27" s="98"/>
      <c r="AK27" s="99"/>
      <c r="AL27" s="99"/>
      <c r="AM27" s="99"/>
      <c r="AN27" s="99"/>
      <c r="AO27" s="100"/>
      <c r="AP27" s="55"/>
      <c r="AQ27" s="70"/>
      <c r="AR27" s="98"/>
      <c r="AS27" s="99"/>
      <c r="AT27" s="99"/>
      <c r="AU27" s="99"/>
      <c r="AV27" s="99"/>
      <c r="AW27" s="130"/>
    </row>
    <row r="28" spans="1:49" ht="23.65" customHeight="1" thickBot="1">
      <c r="A28" s="107"/>
      <c r="B28" s="71"/>
      <c r="C28" s="72"/>
      <c r="D28" s="101"/>
      <c r="E28" s="102"/>
      <c r="F28" s="102"/>
      <c r="G28" s="102"/>
      <c r="H28" s="102"/>
      <c r="I28" s="103"/>
      <c r="J28" s="71"/>
      <c r="K28" s="72"/>
      <c r="L28" s="101"/>
      <c r="M28" s="102"/>
      <c r="N28" s="102"/>
      <c r="O28" s="102"/>
      <c r="P28" s="102"/>
      <c r="Q28" s="103"/>
      <c r="R28" s="71"/>
      <c r="S28" s="72"/>
      <c r="T28" s="101"/>
      <c r="U28" s="102"/>
      <c r="V28" s="102"/>
      <c r="W28" s="102"/>
      <c r="X28" s="102"/>
      <c r="Y28" s="103"/>
      <c r="Z28" s="71"/>
      <c r="AA28" s="72"/>
      <c r="AB28" s="101"/>
      <c r="AC28" s="102"/>
      <c r="AD28" s="102"/>
      <c r="AE28" s="102"/>
      <c r="AF28" s="102"/>
      <c r="AG28" s="103"/>
      <c r="AH28" s="71"/>
      <c r="AI28" s="72"/>
      <c r="AJ28" s="101"/>
      <c r="AK28" s="102"/>
      <c r="AL28" s="102"/>
      <c r="AM28" s="102"/>
      <c r="AN28" s="102"/>
      <c r="AO28" s="103"/>
      <c r="AP28" s="71"/>
      <c r="AQ28" s="72"/>
      <c r="AR28" s="101"/>
      <c r="AS28" s="102"/>
      <c r="AT28" s="102"/>
      <c r="AU28" s="102"/>
      <c r="AV28" s="102"/>
      <c r="AW28" s="131"/>
    </row>
    <row r="29" spans="1:49" ht="23.65" customHeight="1">
      <c r="A29" s="106">
        <f>A27+$W$51/1440</f>
        <v>0.52083333333333315</v>
      </c>
      <c r="B29" s="55"/>
      <c r="C29" s="70"/>
      <c r="D29" s="98"/>
      <c r="E29" s="99"/>
      <c r="F29" s="99"/>
      <c r="G29" s="99"/>
      <c r="H29" s="99"/>
      <c r="I29" s="100"/>
      <c r="J29" s="55"/>
      <c r="K29" s="70"/>
      <c r="L29" s="98"/>
      <c r="M29" s="99"/>
      <c r="N29" s="99"/>
      <c r="O29" s="99"/>
      <c r="P29" s="99"/>
      <c r="Q29" s="100"/>
      <c r="R29" s="55"/>
      <c r="S29" s="70"/>
      <c r="T29" s="98"/>
      <c r="U29" s="99"/>
      <c r="V29" s="99"/>
      <c r="W29" s="99"/>
      <c r="X29" s="99"/>
      <c r="Y29" s="100"/>
      <c r="Z29" s="55"/>
      <c r="AA29" s="70"/>
      <c r="AB29" s="98"/>
      <c r="AC29" s="99"/>
      <c r="AD29" s="99"/>
      <c r="AE29" s="99"/>
      <c r="AF29" s="99"/>
      <c r="AG29" s="100"/>
      <c r="AH29" s="55"/>
      <c r="AI29" s="70"/>
      <c r="AJ29" s="98"/>
      <c r="AK29" s="99"/>
      <c r="AL29" s="99"/>
      <c r="AM29" s="99"/>
      <c r="AN29" s="99"/>
      <c r="AO29" s="100"/>
      <c r="AP29" s="55"/>
      <c r="AQ29" s="70"/>
      <c r="AR29" s="98"/>
      <c r="AS29" s="99"/>
      <c r="AT29" s="99"/>
      <c r="AU29" s="99"/>
      <c r="AV29" s="99"/>
      <c r="AW29" s="130"/>
    </row>
    <row r="30" spans="1:49" ht="23.65" customHeight="1" thickBot="1">
      <c r="A30" s="107"/>
      <c r="B30" s="71"/>
      <c r="C30" s="72"/>
      <c r="D30" s="101"/>
      <c r="E30" s="102"/>
      <c r="F30" s="102"/>
      <c r="G30" s="102"/>
      <c r="H30" s="102"/>
      <c r="I30" s="103"/>
      <c r="J30" s="71"/>
      <c r="K30" s="72"/>
      <c r="L30" s="101"/>
      <c r="M30" s="102"/>
      <c r="N30" s="102"/>
      <c r="O30" s="102"/>
      <c r="P30" s="102"/>
      <c r="Q30" s="103"/>
      <c r="R30" s="71"/>
      <c r="S30" s="72"/>
      <c r="T30" s="101"/>
      <c r="U30" s="102"/>
      <c r="V30" s="102"/>
      <c r="W30" s="102"/>
      <c r="X30" s="102"/>
      <c r="Y30" s="103"/>
      <c r="Z30" s="71"/>
      <c r="AA30" s="72"/>
      <c r="AB30" s="101"/>
      <c r="AC30" s="102"/>
      <c r="AD30" s="102"/>
      <c r="AE30" s="102"/>
      <c r="AF30" s="102"/>
      <c r="AG30" s="103"/>
      <c r="AH30" s="71"/>
      <c r="AI30" s="72"/>
      <c r="AJ30" s="101"/>
      <c r="AK30" s="102"/>
      <c r="AL30" s="102"/>
      <c r="AM30" s="102"/>
      <c r="AN30" s="102"/>
      <c r="AO30" s="103"/>
      <c r="AP30" s="71"/>
      <c r="AQ30" s="72"/>
      <c r="AR30" s="101"/>
      <c r="AS30" s="102"/>
      <c r="AT30" s="102"/>
      <c r="AU30" s="102"/>
      <c r="AV30" s="102"/>
      <c r="AW30" s="131"/>
    </row>
    <row r="31" spans="1:49" ht="23.65" customHeight="1">
      <c r="A31" s="106">
        <f>A29+$W$51/1440</f>
        <v>0.54166666666666652</v>
      </c>
      <c r="B31" s="55"/>
      <c r="C31" s="70"/>
      <c r="D31" s="98"/>
      <c r="E31" s="99"/>
      <c r="F31" s="99"/>
      <c r="G31" s="99"/>
      <c r="H31" s="99"/>
      <c r="I31" s="100"/>
      <c r="J31" s="55"/>
      <c r="K31" s="70"/>
      <c r="L31" s="98"/>
      <c r="M31" s="99"/>
      <c r="N31" s="99"/>
      <c r="O31" s="99"/>
      <c r="P31" s="99"/>
      <c r="Q31" s="100"/>
      <c r="R31" s="55"/>
      <c r="S31" s="70"/>
      <c r="T31" s="98"/>
      <c r="U31" s="99"/>
      <c r="V31" s="99"/>
      <c r="W31" s="99"/>
      <c r="X31" s="99"/>
      <c r="Y31" s="100"/>
      <c r="Z31" s="55"/>
      <c r="AA31" s="70"/>
      <c r="AB31" s="98"/>
      <c r="AC31" s="99"/>
      <c r="AD31" s="99"/>
      <c r="AE31" s="99"/>
      <c r="AF31" s="99"/>
      <c r="AG31" s="100"/>
      <c r="AH31" s="55"/>
      <c r="AI31" s="70"/>
      <c r="AJ31" s="98"/>
      <c r="AK31" s="99"/>
      <c r="AL31" s="99"/>
      <c r="AM31" s="99"/>
      <c r="AN31" s="99"/>
      <c r="AO31" s="100"/>
      <c r="AP31" s="55"/>
      <c r="AQ31" s="70"/>
      <c r="AR31" s="98"/>
      <c r="AS31" s="99"/>
      <c r="AT31" s="99"/>
      <c r="AU31" s="99"/>
      <c r="AV31" s="99"/>
      <c r="AW31" s="130"/>
    </row>
    <row r="32" spans="1:49" ht="23.65" customHeight="1" thickBot="1">
      <c r="A32" s="107"/>
      <c r="B32" s="71"/>
      <c r="C32" s="72"/>
      <c r="D32" s="101"/>
      <c r="E32" s="102"/>
      <c r="F32" s="102"/>
      <c r="G32" s="102"/>
      <c r="H32" s="102"/>
      <c r="I32" s="103"/>
      <c r="J32" s="71"/>
      <c r="K32" s="72"/>
      <c r="L32" s="101"/>
      <c r="M32" s="102"/>
      <c r="N32" s="102"/>
      <c r="O32" s="102"/>
      <c r="P32" s="102"/>
      <c r="Q32" s="103"/>
      <c r="R32" s="71"/>
      <c r="S32" s="72"/>
      <c r="T32" s="101"/>
      <c r="U32" s="102"/>
      <c r="V32" s="102"/>
      <c r="W32" s="102"/>
      <c r="X32" s="102"/>
      <c r="Y32" s="103"/>
      <c r="Z32" s="71"/>
      <c r="AA32" s="72"/>
      <c r="AB32" s="101"/>
      <c r="AC32" s="102"/>
      <c r="AD32" s="102"/>
      <c r="AE32" s="102"/>
      <c r="AF32" s="102"/>
      <c r="AG32" s="103"/>
      <c r="AH32" s="71"/>
      <c r="AI32" s="72"/>
      <c r="AJ32" s="101"/>
      <c r="AK32" s="102"/>
      <c r="AL32" s="102"/>
      <c r="AM32" s="102"/>
      <c r="AN32" s="102"/>
      <c r="AO32" s="103"/>
      <c r="AP32" s="71"/>
      <c r="AQ32" s="72"/>
      <c r="AR32" s="101"/>
      <c r="AS32" s="102"/>
      <c r="AT32" s="102"/>
      <c r="AU32" s="102"/>
      <c r="AV32" s="102"/>
      <c r="AW32" s="131"/>
    </row>
    <row r="33" spans="1:51" ht="23.65" customHeight="1">
      <c r="A33" s="106">
        <f>A31+$W$51/1440</f>
        <v>0.56249999999999989</v>
      </c>
      <c r="B33" s="55"/>
      <c r="C33" s="70"/>
      <c r="D33" s="98"/>
      <c r="E33" s="99"/>
      <c r="F33" s="99"/>
      <c r="G33" s="99"/>
      <c r="H33" s="99"/>
      <c r="I33" s="100"/>
      <c r="J33" s="55"/>
      <c r="K33" s="70"/>
      <c r="L33" s="98"/>
      <c r="M33" s="99"/>
      <c r="N33" s="99"/>
      <c r="O33" s="99"/>
      <c r="P33" s="99"/>
      <c r="Q33" s="100"/>
      <c r="R33" s="55"/>
      <c r="S33" s="70"/>
      <c r="T33" s="98"/>
      <c r="U33" s="99"/>
      <c r="V33" s="99"/>
      <c r="W33" s="99"/>
      <c r="X33" s="99"/>
      <c r="Y33" s="100"/>
      <c r="Z33" s="55"/>
      <c r="AA33" s="70"/>
      <c r="AB33" s="98"/>
      <c r="AC33" s="99"/>
      <c r="AD33" s="99"/>
      <c r="AE33" s="99"/>
      <c r="AF33" s="99"/>
      <c r="AG33" s="100"/>
      <c r="AH33" s="55"/>
      <c r="AI33" s="70"/>
      <c r="AJ33" s="98"/>
      <c r="AK33" s="99"/>
      <c r="AL33" s="99"/>
      <c r="AM33" s="99"/>
      <c r="AN33" s="99"/>
      <c r="AO33" s="100"/>
      <c r="AP33" s="55"/>
      <c r="AQ33" s="70"/>
      <c r="AR33" s="98"/>
      <c r="AS33" s="99"/>
      <c r="AT33" s="99"/>
      <c r="AU33" s="99"/>
      <c r="AV33" s="99"/>
      <c r="AW33" s="130"/>
    </row>
    <row r="34" spans="1:51" ht="23.65" customHeight="1" thickBot="1">
      <c r="A34" s="107"/>
      <c r="B34" s="71"/>
      <c r="C34" s="72"/>
      <c r="D34" s="101"/>
      <c r="E34" s="102"/>
      <c r="F34" s="102"/>
      <c r="G34" s="102"/>
      <c r="H34" s="102"/>
      <c r="I34" s="103"/>
      <c r="J34" s="71"/>
      <c r="K34" s="72"/>
      <c r="L34" s="101"/>
      <c r="M34" s="102"/>
      <c r="N34" s="102"/>
      <c r="O34" s="102"/>
      <c r="P34" s="102"/>
      <c r="Q34" s="103"/>
      <c r="R34" s="71"/>
      <c r="S34" s="72"/>
      <c r="T34" s="101"/>
      <c r="U34" s="102"/>
      <c r="V34" s="102"/>
      <c r="W34" s="102"/>
      <c r="X34" s="102"/>
      <c r="Y34" s="103"/>
      <c r="Z34" s="71"/>
      <c r="AA34" s="72"/>
      <c r="AB34" s="101"/>
      <c r="AC34" s="102"/>
      <c r="AD34" s="102"/>
      <c r="AE34" s="102"/>
      <c r="AF34" s="102"/>
      <c r="AG34" s="103"/>
      <c r="AH34" s="71"/>
      <c r="AI34" s="72"/>
      <c r="AJ34" s="101"/>
      <c r="AK34" s="102"/>
      <c r="AL34" s="102"/>
      <c r="AM34" s="102"/>
      <c r="AN34" s="102"/>
      <c r="AO34" s="103"/>
      <c r="AP34" s="71"/>
      <c r="AQ34" s="72"/>
      <c r="AR34" s="101"/>
      <c r="AS34" s="102"/>
      <c r="AT34" s="102"/>
      <c r="AU34" s="102"/>
      <c r="AV34" s="102"/>
      <c r="AW34" s="131"/>
    </row>
    <row r="35" spans="1:51" ht="23.65" customHeight="1">
      <c r="A35" s="106">
        <f>A33+$W$51/1440</f>
        <v>0.58333333333333326</v>
      </c>
      <c r="B35" s="55"/>
      <c r="C35" s="70"/>
      <c r="D35" s="98"/>
      <c r="E35" s="99"/>
      <c r="F35" s="99"/>
      <c r="G35" s="99"/>
      <c r="H35" s="99"/>
      <c r="I35" s="100"/>
      <c r="J35" s="55"/>
      <c r="K35" s="70"/>
      <c r="L35" s="98"/>
      <c r="M35" s="99"/>
      <c r="N35" s="99"/>
      <c r="O35" s="99"/>
      <c r="P35" s="99"/>
      <c r="Q35" s="100"/>
      <c r="R35" s="55"/>
      <c r="S35" s="70"/>
      <c r="T35" s="98"/>
      <c r="U35" s="99"/>
      <c r="V35" s="99"/>
      <c r="W35" s="99"/>
      <c r="X35" s="99"/>
      <c r="Y35" s="100"/>
      <c r="Z35" s="55"/>
      <c r="AA35" s="70"/>
      <c r="AB35" s="98"/>
      <c r="AC35" s="99"/>
      <c r="AD35" s="99"/>
      <c r="AE35" s="99"/>
      <c r="AF35" s="99"/>
      <c r="AG35" s="100"/>
      <c r="AH35" s="55"/>
      <c r="AI35" s="70"/>
      <c r="AJ35" s="98"/>
      <c r="AK35" s="99"/>
      <c r="AL35" s="99"/>
      <c r="AM35" s="99"/>
      <c r="AN35" s="99"/>
      <c r="AO35" s="100"/>
      <c r="AP35" s="55"/>
      <c r="AQ35" s="70"/>
      <c r="AR35" s="98"/>
      <c r="AS35" s="99"/>
      <c r="AT35" s="99"/>
      <c r="AU35" s="99"/>
      <c r="AV35" s="99"/>
      <c r="AW35" s="130"/>
    </row>
    <row r="36" spans="1:51" ht="23.65" customHeight="1" thickBot="1">
      <c r="A36" s="107"/>
      <c r="B36" s="71"/>
      <c r="C36" s="72"/>
      <c r="D36" s="101"/>
      <c r="E36" s="102"/>
      <c r="F36" s="102"/>
      <c r="G36" s="102"/>
      <c r="H36" s="102"/>
      <c r="I36" s="103"/>
      <c r="J36" s="71"/>
      <c r="K36" s="72"/>
      <c r="L36" s="101"/>
      <c r="M36" s="102"/>
      <c r="N36" s="102"/>
      <c r="O36" s="102"/>
      <c r="P36" s="102"/>
      <c r="Q36" s="103"/>
      <c r="R36" s="71"/>
      <c r="S36" s="72"/>
      <c r="T36" s="101"/>
      <c r="U36" s="102"/>
      <c r="V36" s="102"/>
      <c r="W36" s="102"/>
      <c r="X36" s="102"/>
      <c r="Y36" s="103"/>
      <c r="Z36" s="71"/>
      <c r="AA36" s="72"/>
      <c r="AB36" s="101"/>
      <c r="AC36" s="102"/>
      <c r="AD36" s="102"/>
      <c r="AE36" s="102"/>
      <c r="AF36" s="102"/>
      <c r="AG36" s="103"/>
      <c r="AH36" s="71"/>
      <c r="AI36" s="72"/>
      <c r="AJ36" s="101"/>
      <c r="AK36" s="102"/>
      <c r="AL36" s="102"/>
      <c r="AM36" s="102"/>
      <c r="AN36" s="102"/>
      <c r="AO36" s="103"/>
      <c r="AP36" s="71"/>
      <c r="AQ36" s="72"/>
      <c r="AR36" s="101"/>
      <c r="AS36" s="102"/>
      <c r="AT36" s="102"/>
      <c r="AU36" s="102"/>
      <c r="AV36" s="102"/>
      <c r="AW36" s="131"/>
    </row>
    <row r="37" spans="1:51" ht="23.65" customHeight="1">
      <c r="A37" s="106">
        <f>A35+$W$51/1440</f>
        <v>0.60416666666666663</v>
      </c>
      <c r="B37" s="55"/>
      <c r="C37" s="70"/>
      <c r="D37" s="98"/>
      <c r="E37" s="99"/>
      <c r="F37" s="99"/>
      <c r="G37" s="99"/>
      <c r="H37" s="99"/>
      <c r="I37" s="100"/>
      <c r="J37" s="55"/>
      <c r="K37" s="70"/>
      <c r="L37" s="98"/>
      <c r="M37" s="99"/>
      <c r="N37" s="99"/>
      <c r="O37" s="99"/>
      <c r="P37" s="99"/>
      <c r="Q37" s="100"/>
      <c r="R37" s="55"/>
      <c r="S37" s="70"/>
      <c r="T37" s="98"/>
      <c r="U37" s="99"/>
      <c r="V37" s="99"/>
      <c r="W37" s="99"/>
      <c r="X37" s="99"/>
      <c r="Y37" s="100"/>
      <c r="Z37" s="55"/>
      <c r="AA37" s="70"/>
      <c r="AB37" s="98"/>
      <c r="AC37" s="99"/>
      <c r="AD37" s="99"/>
      <c r="AE37" s="99"/>
      <c r="AF37" s="99"/>
      <c r="AG37" s="100"/>
      <c r="AH37" s="55"/>
      <c r="AI37" s="70"/>
      <c r="AJ37" s="98"/>
      <c r="AK37" s="99"/>
      <c r="AL37" s="99"/>
      <c r="AM37" s="99"/>
      <c r="AN37" s="99"/>
      <c r="AO37" s="100"/>
      <c r="AP37" s="55"/>
      <c r="AQ37" s="70"/>
      <c r="AR37" s="98"/>
      <c r="AS37" s="99"/>
      <c r="AT37" s="99"/>
      <c r="AU37" s="99"/>
      <c r="AV37" s="99"/>
      <c r="AW37" s="130"/>
    </row>
    <row r="38" spans="1:51" ht="23.65" customHeight="1" thickBot="1">
      <c r="A38" s="107"/>
      <c r="B38" s="71"/>
      <c r="C38" s="72"/>
      <c r="D38" s="101"/>
      <c r="E38" s="102"/>
      <c r="F38" s="102"/>
      <c r="G38" s="102"/>
      <c r="H38" s="102"/>
      <c r="I38" s="103"/>
      <c r="J38" s="71"/>
      <c r="K38" s="72"/>
      <c r="L38" s="101"/>
      <c r="M38" s="102"/>
      <c r="N38" s="102"/>
      <c r="O38" s="102"/>
      <c r="P38" s="102"/>
      <c r="Q38" s="103"/>
      <c r="R38" s="71"/>
      <c r="S38" s="72"/>
      <c r="T38" s="101"/>
      <c r="U38" s="102"/>
      <c r="V38" s="102"/>
      <c r="W38" s="102"/>
      <c r="X38" s="102"/>
      <c r="Y38" s="103"/>
      <c r="Z38" s="71"/>
      <c r="AA38" s="72"/>
      <c r="AB38" s="101"/>
      <c r="AC38" s="102"/>
      <c r="AD38" s="102"/>
      <c r="AE38" s="102"/>
      <c r="AF38" s="102"/>
      <c r="AG38" s="103"/>
      <c r="AH38" s="71"/>
      <c r="AI38" s="72"/>
      <c r="AJ38" s="101"/>
      <c r="AK38" s="102"/>
      <c r="AL38" s="102"/>
      <c r="AM38" s="102"/>
      <c r="AN38" s="102"/>
      <c r="AO38" s="103"/>
      <c r="AP38" s="71"/>
      <c r="AQ38" s="72"/>
      <c r="AR38" s="101"/>
      <c r="AS38" s="102"/>
      <c r="AT38" s="102"/>
      <c r="AU38" s="102"/>
      <c r="AV38" s="102"/>
      <c r="AW38" s="131"/>
    </row>
    <row r="39" spans="1:51" ht="23.65" customHeight="1">
      <c r="A39" s="106">
        <f>A37+$W$51/1440</f>
        <v>0.625</v>
      </c>
      <c r="B39" s="55"/>
      <c r="C39" s="70"/>
      <c r="D39" s="98"/>
      <c r="E39" s="99"/>
      <c r="F39" s="99"/>
      <c r="G39" s="99"/>
      <c r="H39" s="99"/>
      <c r="I39" s="100"/>
      <c r="J39" s="55"/>
      <c r="K39" s="70"/>
      <c r="L39" s="98"/>
      <c r="M39" s="99"/>
      <c r="N39" s="99"/>
      <c r="O39" s="99"/>
      <c r="P39" s="99"/>
      <c r="Q39" s="100"/>
      <c r="R39" s="55"/>
      <c r="S39" s="70"/>
      <c r="T39" s="98"/>
      <c r="U39" s="99"/>
      <c r="V39" s="99"/>
      <c r="W39" s="99"/>
      <c r="X39" s="99"/>
      <c r="Y39" s="100"/>
      <c r="Z39" s="55"/>
      <c r="AA39" s="70"/>
      <c r="AB39" s="98"/>
      <c r="AC39" s="99"/>
      <c r="AD39" s="99"/>
      <c r="AE39" s="99"/>
      <c r="AF39" s="99"/>
      <c r="AG39" s="100"/>
      <c r="AH39" s="55"/>
      <c r="AI39" s="70"/>
      <c r="AJ39" s="98"/>
      <c r="AK39" s="99"/>
      <c r="AL39" s="99"/>
      <c r="AM39" s="99"/>
      <c r="AN39" s="99"/>
      <c r="AO39" s="100"/>
      <c r="AP39" s="55"/>
      <c r="AQ39" s="70"/>
      <c r="AR39" s="98"/>
      <c r="AS39" s="99"/>
      <c r="AT39" s="99"/>
      <c r="AU39" s="99"/>
      <c r="AV39" s="99"/>
      <c r="AW39" s="130"/>
    </row>
    <row r="40" spans="1:51" ht="23.65" customHeight="1" thickBot="1">
      <c r="A40" s="107"/>
      <c r="B40" s="71"/>
      <c r="C40" s="72"/>
      <c r="D40" s="101"/>
      <c r="E40" s="102"/>
      <c r="F40" s="102"/>
      <c r="G40" s="102"/>
      <c r="H40" s="102"/>
      <c r="I40" s="103"/>
      <c r="J40" s="71"/>
      <c r="K40" s="72"/>
      <c r="L40" s="101"/>
      <c r="M40" s="102"/>
      <c r="N40" s="102"/>
      <c r="O40" s="102"/>
      <c r="P40" s="102"/>
      <c r="Q40" s="103"/>
      <c r="R40" s="71"/>
      <c r="S40" s="72"/>
      <c r="T40" s="101"/>
      <c r="U40" s="102"/>
      <c r="V40" s="102"/>
      <c r="W40" s="102"/>
      <c r="X40" s="102"/>
      <c r="Y40" s="103"/>
      <c r="Z40" s="71"/>
      <c r="AA40" s="72"/>
      <c r="AB40" s="101"/>
      <c r="AC40" s="102"/>
      <c r="AD40" s="102"/>
      <c r="AE40" s="102"/>
      <c r="AF40" s="102"/>
      <c r="AG40" s="103"/>
      <c r="AH40" s="71"/>
      <c r="AI40" s="72"/>
      <c r="AJ40" s="101"/>
      <c r="AK40" s="102"/>
      <c r="AL40" s="102"/>
      <c r="AM40" s="102"/>
      <c r="AN40" s="102"/>
      <c r="AO40" s="103"/>
      <c r="AP40" s="71"/>
      <c r="AQ40" s="72"/>
      <c r="AR40" s="101"/>
      <c r="AS40" s="102"/>
      <c r="AT40" s="102"/>
      <c r="AU40" s="102"/>
      <c r="AV40" s="102"/>
      <c r="AW40" s="131"/>
    </row>
    <row r="41" spans="1:51" ht="23.65" customHeight="1">
      <c r="A41" s="106">
        <f>A39+$W$51/1440</f>
        <v>0.64583333333333337</v>
      </c>
      <c r="B41" s="55"/>
      <c r="C41" s="70"/>
      <c r="D41" s="98"/>
      <c r="E41" s="99"/>
      <c r="F41" s="99"/>
      <c r="G41" s="99"/>
      <c r="H41" s="99"/>
      <c r="I41" s="100"/>
      <c r="J41" s="55"/>
      <c r="K41" s="70"/>
      <c r="L41" s="98"/>
      <c r="M41" s="99"/>
      <c r="N41" s="99"/>
      <c r="O41" s="99"/>
      <c r="P41" s="99"/>
      <c r="Q41" s="100"/>
      <c r="R41" s="55"/>
      <c r="S41" s="70"/>
      <c r="T41" s="98"/>
      <c r="U41" s="99"/>
      <c r="V41" s="99"/>
      <c r="W41" s="99"/>
      <c r="X41" s="99"/>
      <c r="Y41" s="100"/>
      <c r="Z41" s="55"/>
      <c r="AA41" s="70"/>
      <c r="AB41" s="98"/>
      <c r="AC41" s="99"/>
      <c r="AD41" s="99"/>
      <c r="AE41" s="99"/>
      <c r="AF41" s="99"/>
      <c r="AG41" s="100"/>
      <c r="AH41" s="55"/>
      <c r="AI41" s="70"/>
      <c r="AJ41" s="98"/>
      <c r="AK41" s="99"/>
      <c r="AL41" s="99"/>
      <c r="AM41" s="99"/>
      <c r="AN41" s="99"/>
      <c r="AO41" s="100"/>
      <c r="AP41" s="55"/>
      <c r="AQ41" s="70"/>
      <c r="AR41" s="98"/>
      <c r="AS41" s="99"/>
      <c r="AT41" s="99"/>
      <c r="AU41" s="99"/>
      <c r="AV41" s="99"/>
      <c r="AW41" s="130"/>
    </row>
    <row r="42" spans="1:51" ht="23.65" customHeight="1" thickBot="1">
      <c r="A42" s="107"/>
      <c r="B42" s="71"/>
      <c r="C42" s="72"/>
      <c r="D42" s="101"/>
      <c r="E42" s="102"/>
      <c r="F42" s="102"/>
      <c r="G42" s="102"/>
      <c r="H42" s="102"/>
      <c r="I42" s="103"/>
      <c r="J42" s="71"/>
      <c r="K42" s="72"/>
      <c r="L42" s="101"/>
      <c r="M42" s="102"/>
      <c r="N42" s="102"/>
      <c r="O42" s="102"/>
      <c r="P42" s="102"/>
      <c r="Q42" s="103"/>
      <c r="R42" s="71"/>
      <c r="S42" s="72"/>
      <c r="T42" s="101"/>
      <c r="U42" s="102"/>
      <c r="V42" s="102"/>
      <c r="W42" s="102"/>
      <c r="X42" s="102"/>
      <c r="Y42" s="103"/>
      <c r="Z42" s="71"/>
      <c r="AA42" s="72"/>
      <c r="AB42" s="101"/>
      <c r="AC42" s="102"/>
      <c r="AD42" s="102"/>
      <c r="AE42" s="102"/>
      <c r="AF42" s="102"/>
      <c r="AG42" s="103"/>
      <c r="AH42" s="71"/>
      <c r="AI42" s="72"/>
      <c r="AJ42" s="101"/>
      <c r="AK42" s="102"/>
      <c r="AL42" s="102"/>
      <c r="AM42" s="102"/>
      <c r="AN42" s="102"/>
      <c r="AO42" s="103"/>
      <c r="AP42" s="71"/>
      <c r="AQ42" s="72"/>
      <c r="AR42" s="101"/>
      <c r="AS42" s="102"/>
      <c r="AT42" s="102"/>
      <c r="AU42" s="102"/>
      <c r="AV42" s="102"/>
      <c r="AW42" s="131"/>
    </row>
    <row r="43" spans="1:51" ht="23.65" customHeight="1">
      <c r="A43" s="106">
        <f>A41+$W$51/1440</f>
        <v>0.66666666666666674</v>
      </c>
      <c r="B43" s="55"/>
      <c r="C43" s="70"/>
      <c r="D43" s="98"/>
      <c r="E43" s="99"/>
      <c r="F43" s="99"/>
      <c r="G43" s="99"/>
      <c r="H43" s="99"/>
      <c r="I43" s="100"/>
      <c r="J43" s="55"/>
      <c r="K43" s="70"/>
      <c r="L43" s="98"/>
      <c r="M43" s="99"/>
      <c r="N43" s="99"/>
      <c r="O43" s="99"/>
      <c r="P43" s="99"/>
      <c r="Q43" s="100"/>
      <c r="R43" s="55"/>
      <c r="S43" s="70"/>
      <c r="T43" s="98"/>
      <c r="U43" s="99"/>
      <c r="V43" s="99"/>
      <c r="W43" s="99"/>
      <c r="X43" s="99"/>
      <c r="Y43" s="100"/>
      <c r="Z43" s="55"/>
      <c r="AA43" s="70"/>
      <c r="AB43" s="98"/>
      <c r="AC43" s="99"/>
      <c r="AD43" s="99"/>
      <c r="AE43" s="99"/>
      <c r="AF43" s="99"/>
      <c r="AG43" s="100"/>
      <c r="AH43" s="55"/>
      <c r="AI43" s="70"/>
      <c r="AJ43" s="98"/>
      <c r="AK43" s="99"/>
      <c r="AL43" s="99"/>
      <c r="AM43" s="99"/>
      <c r="AN43" s="99"/>
      <c r="AO43" s="100"/>
      <c r="AP43" s="55"/>
      <c r="AQ43" s="70"/>
      <c r="AR43" s="98"/>
      <c r="AS43" s="99"/>
      <c r="AT43" s="99"/>
      <c r="AU43" s="99"/>
      <c r="AV43" s="99"/>
      <c r="AW43" s="130"/>
      <c r="AX43" s="4" t="s">
        <v>46</v>
      </c>
      <c r="AY43" s="4">
        <f>COUNTA(D11:D30,L11:L30,T11:T30,AB11:AB30,AJ11:AJ30,AR11:AR30)</f>
        <v>0</v>
      </c>
    </row>
    <row r="44" spans="1:51" ht="23.65" customHeight="1" thickBot="1">
      <c r="A44" s="107"/>
      <c r="B44" s="71"/>
      <c r="C44" s="72"/>
      <c r="D44" s="101"/>
      <c r="E44" s="102"/>
      <c r="F44" s="102"/>
      <c r="G44" s="102"/>
      <c r="H44" s="102"/>
      <c r="I44" s="103"/>
      <c r="J44" s="71"/>
      <c r="K44" s="72"/>
      <c r="L44" s="101"/>
      <c r="M44" s="102"/>
      <c r="N44" s="102"/>
      <c r="O44" s="102"/>
      <c r="P44" s="102"/>
      <c r="Q44" s="103"/>
      <c r="R44" s="71"/>
      <c r="S44" s="72"/>
      <c r="T44" s="101"/>
      <c r="U44" s="102"/>
      <c r="V44" s="102"/>
      <c r="W44" s="102"/>
      <c r="X44" s="102"/>
      <c r="Y44" s="103"/>
      <c r="Z44" s="71"/>
      <c r="AA44" s="72"/>
      <c r="AB44" s="101"/>
      <c r="AC44" s="102"/>
      <c r="AD44" s="102"/>
      <c r="AE44" s="102"/>
      <c r="AF44" s="102"/>
      <c r="AG44" s="103"/>
      <c r="AH44" s="71"/>
      <c r="AI44" s="72"/>
      <c r="AJ44" s="101"/>
      <c r="AK44" s="102"/>
      <c r="AL44" s="102"/>
      <c r="AM44" s="102"/>
      <c r="AN44" s="102"/>
      <c r="AO44" s="103"/>
      <c r="AP44" s="71"/>
      <c r="AQ44" s="72"/>
      <c r="AR44" s="101"/>
      <c r="AS44" s="102"/>
      <c r="AT44" s="102"/>
      <c r="AU44" s="102"/>
      <c r="AV44" s="102"/>
      <c r="AW44" s="131"/>
      <c r="AX44" s="4" t="s">
        <v>47</v>
      </c>
      <c r="AY44" s="4">
        <f>COUNTA(D31:D46,L31:L46,T31:T46,AB31:AB46,AJ31:AJ46,AR31:AR46)</f>
        <v>0</v>
      </c>
    </row>
    <row r="45" spans="1:51" ht="23.65" customHeight="1">
      <c r="A45" s="106">
        <f>A43+$W$51/1440</f>
        <v>0.68750000000000011</v>
      </c>
      <c r="B45" s="55"/>
      <c r="C45" s="70"/>
      <c r="D45" s="98"/>
      <c r="E45" s="99"/>
      <c r="F45" s="99"/>
      <c r="G45" s="99"/>
      <c r="H45" s="99"/>
      <c r="I45" s="100"/>
      <c r="J45" s="55"/>
      <c r="K45" s="70"/>
      <c r="L45" s="98"/>
      <c r="M45" s="99"/>
      <c r="N45" s="99"/>
      <c r="O45" s="99"/>
      <c r="P45" s="99"/>
      <c r="Q45" s="100"/>
      <c r="R45" s="55"/>
      <c r="S45" s="70"/>
      <c r="T45" s="98"/>
      <c r="U45" s="99"/>
      <c r="V45" s="99"/>
      <c r="W45" s="99"/>
      <c r="X45" s="99"/>
      <c r="Y45" s="100"/>
      <c r="Z45" s="55"/>
      <c r="AA45" s="70"/>
      <c r="AB45" s="98"/>
      <c r="AC45" s="99"/>
      <c r="AD45" s="99"/>
      <c r="AE45" s="99"/>
      <c r="AF45" s="99"/>
      <c r="AG45" s="100"/>
      <c r="AH45" s="55"/>
      <c r="AI45" s="70"/>
      <c r="AJ45" s="98"/>
      <c r="AK45" s="99"/>
      <c r="AL45" s="99"/>
      <c r="AM45" s="99"/>
      <c r="AN45" s="99"/>
      <c r="AO45" s="100"/>
      <c r="AP45" s="55"/>
      <c r="AQ45" s="70"/>
      <c r="AR45" s="98"/>
      <c r="AS45" s="99"/>
      <c r="AT45" s="99"/>
      <c r="AU45" s="99"/>
      <c r="AV45" s="99"/>
      <c r="AW45" s="130"/>
      <c r="AX45" s="4" t="s">
        <v>50</v>
      </c>
      <c r="AY45" s="4">
        <f>COUNTA(C12,C14,C16,C18,C20,C22,C24,C26,C28,C30,K12,K14,K16,K18,K20,K22,K24,K26,K28,K30,S12,S14,S16,S18,S20,S22,S24,S26,S28,S30,AA12,AA14,AA16,AA18,AA20,AA22,AA24,AA26,AA28,AA30,AI12,AI14,AI16,AI18,AI20,AI22,AI24,AI26,AI28,AI30,AQ12,AQ14,AQ16,AQ18,AQ20,AQ22,AQ24,AQ26,AQ28,AQ30)</f>
        <v>0</v>
      </c>
    </row>
    <row r="46" spans="1:51" ht="23.65" customHeight="1" thickBot="1">
      <c r="A46" s="107"/>
      <c r="B46" s="71"/>
      <c r="C46" s="72"/>
      <c r="D46" s="101"/>
      <c r="E46" s="102"/>
      <c r="F46" s="102"/>
      <c r="G46" s="102"/>
      <c r="H46" s="102"/>
      <c r="I46" s="103"/>
      <c r="J46" s="71"/>
      <c r="K46" s="72"/>
      <c r="L46" s="101"/>
      <c r="M46" s="102"/>
      <c r="N46" s="102"/>
      <c r="O46" s="102"/>
      <c r="P46" s="102"/>
      <c r="Q46" s="103"/>
      <c r="R46" s="71"/>
      <c r="S46" s="72"/>
      <c r="T46" s="101"/>
      <c r="U46" s="102"/>
      <c r="V46" s="102"/>
      <c r="W46" s="102"/>
      <c r="X46" s="102"/>
      <c r="Y46" s="103"/>
      <c r="Z46" s="71"/>
      <c r="AA46" s="72"/>
      <c r="AB46" s="101"/>
      <c r="AC46" s="102"/>
      <c r="AD46" s="102"/>
      <c r="AE46" s="102"/>
      <c r="AF46" s="102"/>
      <c r="AG46" s="103"/>
      <c r="AH46" s="71"/>
      <c r="AI46" s="72"/>
      <c r="AJ46" s="101"/>
      <c r="AK46" s="102"/>
      <c r="AL46" s="102"/>
      <c r="AM46" s="102"/>
      <c r="AN46" s="102"/>
      <c r="AO46" s="103"/>
      <c r="AP46" s="71"/>
      <c r="AQ46" s="72"/>
      <c r="AR46" s="101"/>
      <c r="AS46" s="102"/>
      <c r="AT46" s="102"/>
      <c r="AU46" s="102"/>
      <c r="AV46" s="102"/>
      <c r="AW46" s="131"/>
      <c r="AX46" s="4" t="s">
        <v>51</v>
      </c>
      <c r="AY46" s="4">
        <f>COUNTA(C32,C34,C36,C38,C40,C42,C44,C46,K32,K34,K36,K38,K40,K42,K44,K46,S32,S34,S36,S38,S40,S42,S44,S46,AA32,AA34,AA36,AA38,AA40,AA42,AA44,AA46,AI32,AI34,AI36,AI38,AI40,AI42,AI44,AI46,AQ32,AQ34,AQ36,AQ38,AQ40,AQ42,AQ44,AQ46)</f>
        <v>0</v>
      </c>
    </row>
    <row r="47" spans="1:51" ht="23.65" customHeight="1">
      <c r="A47" s="132" t="s">
        <v>16</v>
      </c>
      <c r="B47" s="55"/>
      <c r="C47" s="70"/>
      <c r="D47" s="98"/>
      <c r="E47" s="99"/>
      <c r="F47" s="99"/>
      <c r="G47" s="99"/>
      <c r="H47" s="99"/>
      <c r="I47" s="100"/>
      <c r="J47" s="55"/>
      <c r="K47" s="70"/>
      <c r="L47" s="98"/>
      <c r="M47" s="99"/>
      <c r="N47" s="99"/>
      <c r="O47" s="99"/>
      <c r="P47" s="99"/>
      <c r="Q47" s="100"/>
      <c r="R47" s="55"/>
      <c r="S47" s="70"/>
      <c r="T47" s="98"/>
      <c r="U47" s="99"/>
      <c r="V47" s="99"/>
      <c r="W47" s="99"/>
      <c r="X47" s="99"/>
      <c r="Y47" s="100"/>
      <c r="Z47" s="55"/>
      <c r="AA47" s="70"/>
      <c r="AB47" s="98"/>
      <c r="AC47" s="99"/>
      <c r="AD47" s="99"/>
      <c r="AE47" s="99"/>
      <c r="AF47" s="99"/>
      <c r="AG47" s="100"/>
      <c r="AH47" s="55"/>
      <c r="AI47" s="70"/>
      <c r="AJ47" s="98"/>
      <c r="AK47" s="99"/>
      <c r="AL47" s="99"/>
      <c r="AM47" s="99"/>
      <c r="AN47" s="99"/>
      <c r="AO47" s="100"/>
      <c r="AP47" s="55"/>
      <c r="AQ47" s="70"/>
      <c r="AR47" s="98"/>
      <c r="AS47" s="99"/>
      <c r="AT47" s="99"/>
      <c r="AU47" s="99"/>
      <c r="AV47" s="99"/>
      <c r="AW47" s="130"/>
      <c r="AX47" s="4" t="s">
        <v>48</v>
      </c>
      <c r="AY47" s="4">
        <f>SUM(C12,C14,C16,C18,C20,C22,C24,C26,C28,C30,K12,K14,K16,K18,K20,K22,K24,K26,K28,K30,S12,S14,S16,S18,S20,S22,S24,S26,S28,S30,AA12,AA14,AA16,AA18,AA20,AA22,AA24,AA26,AA28,AA30,AI12,AI14,AI16,AI18,AI20,AI22,AI24,AI26,AI28,AI30,AQ12,AQ14,AQ16,AQ18,AQ20,AQ22,AQ24,AQ26,AQ28,AQ30)</f>
        <v>0</v>
      </c>
    </row>
    <row r="48" spans="1:51" ht="23.65" customHeight="1">
      <c r="A48" s="133"/>
      <c r="B48" s="71"/>
      <c r="C48" s="72"/>
      <c r="D48" s="101"/>
      <c r="E48" s="102"/>
      <c r="F48" s="102"/>
      <c r="G48" s="102"/>
      <c r="H48" s="102"/>
      <c r="I48" s="103"/>
      <c r="J48" s="71"/>
      <c r="K48" s="72"/>
      <c r="L48" s="101"/>
      <c r="M48" s="102"/>
      <c r="N48" s="102"/>
      <c r="O48" s="102"/>
      <c r="P48" s="102"/>
      <c r="Q48" s="103"/>
      <c r="R48" s="71"/>
      <c r="S48" s="72"/>
      <c r="T48" s="101"/>
      <c r="U48" s="102"/>
      <c r="V48" s="102"/>
      <c r="W48" s="102"/>
      <c r="X48" s="102"/>
      <c r="Y48" s="103"/>
      <c r="Z48" s="71"/>
      <c r="AA48" s="72"/>
      <c r="AB48" s="101"/>
      <c r="AC48" s="102"/>
      <c r="AD48" s="102"/>
      <c r="AE48" s="102"/>
      <c r="AF48" s="102"/>
      <c r="AG48" s="103"/>
      <c r="AH48" s="71"/>
      <c r="AI48" s="72"/>
      <c r="AJ48" s="101"/>
      <c r="AK48" s="102"/>
      <c r="AL48" s="102"/>
      <c r="AM48" s="102"/>
      <c r="AN48" s="102"/>
      <c r="AO48" s="103"/>
      <c r="AP48" s="71"/>
      <c r="AQ48" s="72"/>
      <c r="AR48" s="101"/>
      <c r="AS48" s="102"/>
      <c r="AT48" s="102"/>
      <c r="AU48" s="102"/>
      <c r="AV48" s="102"/>
      <c r="AW48" s="131"/>
      <c r="AX48" s="12" t="s">
        <v>49</v>
      </c>
      <c r="AY48" s="4">
        <f>SUM(C32,C34,C36,C38,C40,C42,C44,C46,K32,K34,K36,K38,K40,K42,K44,K46,S32,S34,S36,S38,S40,S42,S44,S46,AA32,AA34,AA36,AA38,AA40,AA42,AA44,AA46,AI32,AI34,AI36,AI38,AI40,AI42,AI44,AI46,AQ32,AQ34,AQ36,AQ38,AQ40,AQ42,AQ44,AQ46)</f>
        <v>0</v>
      </c>
    </row>
    <row r="49" spans="1:41" ht="26.25" customHeight="1">
      <c r="S49" s="12"/>
      <c r="AO49" s="5"/>
    </row>
    <row r="50" spans="1:41" ht="15" customHeight="1">
      <c r="D50" s="8"/>
      <c r="E50" s="8"/>
      <c r="F50" s="8"/>
      <c r="G50" s="8"/>
      <c r="AL50" s="2"/>
      <c r="AM50" s="2"/>
      <c r="AN50" s="2"/>
    </row>
    <row r="51" spans="1:41" ht="26.25" customHeight="1">
      <c r="A51" s="35"/>
      <c r="B51" s="35"/>
      <c r="C51" s="35"/>
      <c r="D51" s="95"/>
      <c r="E51" s="96"/>
      <c r="F51" s="96"/>
      <c r="G51" s="96"/>
      <c r="H51" s="9"/>
      <c r="I51" s="9"/>
      <c r="K51" s="35"/>
      <c r="L51" s="35"/>
      <c r="M51" s="35"/>
      <c r="N51" s="35" t="s">
        <v>17</v>
      </c>
      <c r="O51" s="35"/>
      <c r="P51" s="97">
        <v>0.33333333333333331</v>
      </c>
      <c r="Q51" s="96"/>
      <c r="R51" s="96"/>
      <c r="S51" s="96"/>
      <c r="T51" s="9"/>
      <c r="U51" s="9"/>
      <c r="V51" s="35" t="s">
        <v>18</v>
      </c>
      <c r="W51" s="36">
        <v>30</v>
      </c>
      <c r="X51" s="35"/>
      <c r="Y51" s="35"/>
      <c r="Z51" s="9"/>
      <c r="AB51" s="37"/>
      <c r="AC51" s="37"/>
      <c r="AD51" s="37"/>
      <c r="AL51" s="38"/>
      <c r="AM51" s="38"/>
      <c r="AN51" s="38"/>
      <c r="AO51" s="5"/>
    </row>
    <row r="52" spans="1:41" ht="15" customHeight="1">
      <c r="AL52" s="39"/>
      <c r="AM52" s="39"/>
      <c r="AN52" s="39"/>
    </row>
    <row r="53" spans="1:41" ht="26.25" customHeight="1">
      <c r="B53" s="10"/>
      <c r="C53" s="10"/>
      <c r="D53" s="40"/>
      <c r="E53" s="40"/>
      <c r="F53" s="40"/>
      <c r="G53" s="40"/>
      <c r="AL53" s="41"/>
      <c r="AM53" s="41"/>
      <c r="AN53" s="41"/>
      <c r="AO53" s="5"/>
    </row>
    <row r="54" spans="1:41" ht="15" customHeight="1">
      <c r="D54" s="8"/>
      <c r="E54" s="8"/>
      <c r="F54" s="8"/>
      <c r="G54" s="8"/>
      <c r="K54" s="8"/>
      <c r="L54" s="8"/>
      <c r="M54" s="8"/>
      <c r="AL54" s="42"/>
      <c r="AM54" s="42"/>
      <c r="AN54" s="42"/>
    </row>
    <row r="55" spans="1:41" ht="26.25" customHeight="1">
      <c r="B55" s="11"/>
      <c r="C55" s="11"/>
      <c r="J55" s="11"/>
      <c r="K55" s="14"/>
      <c r="L55" s="14"/>
      <c r="M55" s="14"/>
      <c r="V55" s="12"/>
      <c r="AL55" s="43"/>
      <c r="AM55" s="43"/>
      <c r="AN55" s="43"/>
      <c r="AO55" s="5"/>
    </row>
    <row r="56" spans="1:41" ht="15" customHeight="1">
      <c r="D56" s="44"/>
      <c r="AL56" s="39"/>
      <c r="AM56" s="39"/>
      <c r="AN56" s="39"/>
    </row>
    <row r="57" spans="1:41" ht="26.25" customHeight="1">
      <c r="AO57" s="5"/>
    </row>
    <row r="59" spans="1:41" ht="26.25" customHeight="1">
      <c r="AO59" s="5"/>
    </row>
    <row r="61" spans="1:41" ht="26.25" customHeight="1">
      <c r="AO61" s="5"/>
    </row>
    <row r="63" spans="1:41" ht="26.25" customHeight="1">
      <c r="AO63" s="5"/>
    </row>
    <row r="65" spans="41:49" ht="26.25" customHeight="1">
      <c r="AO65" s="5"/>
    </row>
    <row r="67" spans="41:49" ht="26.25" customHeight="1">
      <c r="AO67" s="5"/>
    </row>
    <row r="68" spans="41:49" ht="12.75" customHeight="1">
      <c r="AQ68" s="7"/>
      <c r="AR68" s="3"/>
      <c r="AS68" s="3"/>
      <c r="AT68" s="3"/>
      <c r="AU68" s="3"/>
      <c r="AV68" s="3"/>
      <c r="AW68" s="3"/>
    </row>
    <row r="69" spans="41:49" ht="12.75" customHeight="1">
      <c r="AQ69" s="7"/>
      <c r="AR69" s="3"/>
      <c r="AS69" s="3"/>
      <c r="AT69" s="3"/>
      <c r="AU69" s="3"/>
      <c r="AV69" s="3"/>
      <c r="AW69" s="3"/>
    </row>
    <row r="70" spans="41:49" ht="12.75" customHeight="1"/>
    <row r="71" spans="41:49" ht="12.75" customHeight="1"/>
    <row r="72" spans="41:49" ht="12.75" customHeight="1"/>
    <row r="73" spans="41:49" ht="12.75" customHeight="1"/>
    <row r="74" spans="41:49" ht="12.75" customHeight="1"/>
    <row r="75" spans="41:49" ht="12.75" customHeight="1"/>
    <row r="76" spans="41:49" ht="12.75" customHeight="1"/>
    <row r="77" spans="41:49" ht="12.75" customHeight="1"/>
    <row r="78" spans="41:49" ht="12.75" customHeight="1"/>
    <row r="79" spans="41:49" ht="12.75" customHeight="1"/>
    <row r="80" spans="41:49"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sheetData>
  <sheetProtection algorithmName="SHA-512" hashValue="4d+cUoARM9SLc4Dx1wGnrxTwxuQkJW58ubwJqj67m88o6vbiBZcFCX9bf54wEmu4tkOiXOKLzMvLXxiqQq4wVw==" saltValue="74KjKGVce73rxtJ8tj9+5w==" spinCount="100000" sheet="1" formatCells="0"/>
  <protectedRanges>
    <protectedRange sqref="B11:AW48" name="範圍1"/>
    <protectedRange sqref="E2:K2" name="範圍2"/>
    <protectedRange sqref="W3:AF9" name="範圍4"/>
  </protectedRanges>
  <customSheetViews>
    <customSheetView guid="{ED7F0585-821B-4CF6-9AE0-E6BD7B56F04D}" showGridLines="0" fitToPage="1">
      <pane xSplit="1" ySplit="1" topLeftCell="B2" activePane="bottomRight" state="frozen"/>
      <selection pane="bottomRight" activeCell="T3" sqref="T3:AB9"/>
      <pageMargins left="0" right="0" top="0" bottom="0" header="0" footer="0"/>
      <pageSetup fitToHeight="0" orientation="portrait"/>
      <headerFooter>
        <oddFooter>&amp;L01+049Appointment Schedule Template © 2017 by Vertex42.com&amp;R01+049https://www.vertex42.com/ExcelTemplates/appointment-schedule.html</oddFooter>
      </headerFooter>
    </customSheetView>
    <customSheetView guid="{70797D03-8F71-4039-A999-FC28B160FC61}" showGridLines="0" fitToPage="1">
      <pane xSplit="1" ySplit="1" topLeftCell="B2" activePane="bottomRight" state="frozen"/>
      <selection pane="bottomRight" activeCell="AH13" sqref="AH13"/>
      <pageMargins left="0.35" right="0.35" top="0.35" bottom="0.5" header="0" footer="0"/>
      <pageSetup fitToHeight="0" orientation="portrait" r:id="rId1"/>
      <headerFooter>
        <oddFooter>&amp;L01+049Appointment Schedule Template © 2017 by Vertex42.com&amp;R01+049https://www.vertex42.com/ExcelTemplates/appointment-schedule.html</oddFooter>
      </headerFooter>
    </customSheetView>
  </customSheetViews>
  <mergeCells count="154">
    <mergeCell ref="D47:I48"/>
    <mergeCell ref="L47:Q48"/>
    <mergeCell ref="T47:Y48"/>
    <mergeCell ref="AB47:AG48"/>
    <mergeCell ref="AJ47:AO48"/>
    <mergeCell ref="AR47:AW48"/>
    <mergeCell ref="B7:C7"/>
    <mergeCell ref="B1:AW1"/>
    <mergeCell ref="AR2:AW2"/>
    <mergeCell ref="AR3:AW3"/>
    <mergeCell ref="AR4:AW4"/>
    <mergeCell ref="AR5:AW5"/>
    <mergeCell ref="AR6:AW6"/>
    <mergeCell ref="D43:I44"/>
    <mergeCell ref="L43:Q44"/>
    <mergeCell ref="T43:Y44"/>
    <mergeCell ref="AB43:AG44"/>
    <mergeCell ref="AJ43:AO44"/>
    <mergeCell ref="AR43:AW44"/>
    <mergeCell ref="D45:I46"/>
    <mergeCell ref="L45:Q46"/>
    <mergeCell ref="T45:Y46"/>
    <mergeCell ref="AB45:AG46"/>
    <mergeCell ref="AJ45:AO46"/>
    <mergeCell ref="AR45:AW46"/>
    <mergeCell ref="D39:I40"/>
    <mergeCell ref="L39:Q40"/>
    <mergeCell ref="T39:Y40"/>
    <mergeCell ref="AB39:AG40"/>
    <mergeCell ref="AJ39:AO40"/>
    <mergeCell ref="AR39:AW40"/>
    <mergeCell ref="D41:I42"/>
    <mergeCell ref="L41:Q42"/>
    <mergeCell ref="T41:Y42"/>
    <mergeCell ref="AB41:AG42"/>
    <mergeCell ref="AJ41:AO42"/>
    <mergeCell ref="AR41:AW42"/>
    <mergeCell ref="D35:I36"/>
    <mergeCell ref="L35:Q36"/>
    <mergeCell ref="T35:Y36"/>
    <mergeCell ref="AB35:AG36"/>
    <mergeCell ref="AJ35:AO36"/>
    <mergeCell ref="AR35:AW36"/>
    <mergeCell ref="D37:I38"/>
    <mergeCell ref="L37:Q38"/>
    <mergeCell ref="T37:Y38"/>
    <mergeCell ref="AB37:AG38"/>
    <mergeCell ref="AJ37:AO38"/>
    <mergeCell ref="AR37:AW38"/>
    <mergeCell ref="D31:I32"/>
    <mergeCell ref="L31:Q32"/>
    <mergeCell ref="T31:Y32"/>
    <mergeCell ref="AB31:AG32"/>
    <mergeCell ref="AJ31:AO32"/>
    <mergeCell ref="AR31:AW32"/>
    <mergeCell ref="D33:I34"/>
    <mergeCell ref="L33:Q34"/>
    <mergeCell ref="T33:Y34"/>
    <mergeCell ref="AB33:AG34"/>
    <mergeCell ref="AJ33:AO34"/>
    <mergeCell ref="AR33:AW34"/>
    <mergeCell ref="L27:Q28"/>
    <mergeCell ref="T27:Y28"/>
    <mergeCell ref="AB27:AG28"/>
    <mergeCell ref="AJ27:AO28"/>
    <mergeCell ref="AR27:AW28"/>
    <mergeCell ref="D29:I30"/>
    <mergeCell ref="L29:Q30"/>
    <mergeCell ref="T29:Y30"/>
    <mergeCell ref="AB29:AG30"/>
    <mergeCell ref="AJ29:AO30"/>
    <mergeCell ref="AR29:AW30"/>
    <mergeCell ref="A45:A46"/>
    <mergeCell ref="A47:A48"/>
    <mergeCell ref="AB19:AG20"/>
    <mergeCell ref="AJ19:AO20"/>
    <mergeCell ref="AR19:AW20"/>
    <mergeCell ref="D21:I22"/>
    <mergeCell ref="L21:Q22"/>
    <mergeCell ref="T21:Y22"/>
    <mergeCell ref="AB21:AG22"/>
    <mergeCell ref="AJ21:AO22"/>
    <mergeCell ref="AR21:AW22"/>
    <mergeCell ref="D23:I24"/>
    <mergeCell ref="L23:Q24"/>
    <mergeCell ref="T23:Y24"/>
    <mergeCell ref="AB23:AG24"/>
    <mergeCell ref="AJ23:AO24"/>
    <mergeCell ref="AR23:AW24"/>
    <mergeCell ref="D25:I26"/>
    <mergeCell ref="L25:Q26"/>
    <mergeCell ref="T25:Y26"/>
    <mergeCell ref="AB25:AG26"/>
    <mergeCell ref="AJ25:AO26"/>
    <mergeCell ref="AR25:AW26"/>
    <mergeCell ref="D27:I28"/>
    <mergeCell ref="AR13:AW14"/>
    <mergeCell ref="D15:I16"/>
    <mergeCell ref="L15:Q16"/>
    <mergeCell ref="T15:Y16"/>
    <mergeCell ref="AB15:AG16"/>
    <mergeCell ref="AJ15:AO16"/>
    <mergeCell ref="AR15:AW16"/>
    <mergeCell ref="AR17:AW18"/>
    <mergeCell ref="D19:I20"/>
    <mergeCell ref="L19:Q20"/>
    <mergeCell ref="T19:Y20"/>
    <mergeCell ref="AJ17:AO18"/>
    <mergeCell ref="D13:I14"/>
    <mergeCell ref="L13:Q14"/>
    <mergeCell ref="D17:I18"/>
    <mergeCell ref="L17:Q18"/>
    <mergeCell ref="E2:K2"/>
    <mergeCell ref="N2:T2"/>
    <mergeCell ref="D11:I12"/>
    <mergeCell ref="L11:Q12"/>
    <mergeCell ref="T11:Y12"/>
    <mergeCell ref="AB11:AG12"/>
    <mergeCell ref="AJ11:AO12"/>
    <mergeCell ref="B3:D3"/>
    <mergeCell ref="W3:AF9"/>
    <mergeCell ref="W2:X2"/>
    <mergeCell ref="AJ4:AO4"/>
    <mergeCell ref="AJ5:AO5"/>
    <mergeCell ref="AJ6:AO6"/>
    <mergeCell ref="AJ7:AO7"/>
    <mergeCell ref="AJ8:AX8"/>
    <mergeCell ref="AJ9:AX9"/>
    <mergeCell ref="AJ10:AX10"/>
    <mergeCell ref="AR11:AW12"/>
    <mergeCell ref="D51:G51"/>
    <mergeCell ref="P51:S51"/>
    <mergeCell ref="T17:Y18"/>
    <mergeCell ref="AB17:AG18"/>
    <mergeCell ref="T13:Y14"/>
    <mergeCell ref="AB13:AG14"/>
    <mergeCell ref="AJ13:AO14"/>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s>
  <phoneticPr fontId="7" type="noConversion"/>
  <conditionalFormatting sqref="N4:U9">
    <cfRule type="expression" dxfId="62" priority="244">
      <formula>MONTH(N4)&lt;&gt;MONTH($N$2)</formula>
    </cfRule>
  </conditionalFormatting>
  <conditionalFormatting sqref="E4:K9">
    <cfRule type="expression" dxfId="61" priority="183">
      <formula>MONTH(E4)&lt;&gt;MONTH($E$2)</formula>
    </cfRule>
  </conditionalFormatting>
  <conditionalFormatting sqref="E4:K9">
    <cfRule type="expression" dxfId="60" priority="254">
      <formula>IF(MONTH(E4)=MONTH($E$2),WEEKDAY(E4,2)&gt;=6)</formula>
    </cfRule>
  </conditionalFormatting>
  <conditionalFormatting sqref="N4:U9">
    <cfRule type="expression" dxfId="59" priority="248">
      <formula>IF(MONTH(N4)=MONTH($N$2),WEEKDAY(N4,2)&gt;=6)</formula>
    </cfRule>
  </conditionalFormatting>
  <conditionalFormatting sqref="E4:K9 N4:U9">
    <cfRule type="expression" dxfId="58" priority="247">
      <formula>MATCH(E4,INDIRECT("holiday!$A:$A"),0)&gt;0</formula>
    </cfRule>
  </conditionalFormatting>
  <conditionalFormatting sqref="AQ2:AQ5">
    <cfRule type="colorScale" priority="169">
      <colorScale>
        <cfvo type="min"/>
        <cfvo type="max"/>
        <color rgb="FF57BB8A"/>
        <color rgb="FFFFFFFF"/>
      </colorScale>
    </cfRule>
  </conditionalFormatting>
  <conditionalFormatting sqref="AI4 AQ6 AI6:AI10 B11:C11 B12 B13:C13 B15:C15 B17:C17 B19:C19 B21:C21 B23:C23 B25:C25 B27:C27 B29:C29 B31:C31 B33:C33 B35:C35 B37:C37 B39:C39 B41:C41 B43:C43 B45:C45 B47:C47 B14 B16 B18 B20 B22 B24 B26 B28 B30 B32 B34 B36 B38 B40 B42 B44 B46 B48">
    <cfRule type="colorScale" priority="13216">
      <colorScale>
        <cfvo type="min"/>
        <cfvo type="max"/>
        <color rgb="FF57BB8A"/>
        <color rgb="FFFFFFFF"/>
      </colorScale>
    </cfRule>
  </conditionalFormatting>
  <conditionalFormatting sqref="AQ2:AQ6 AI4:AI10 B11:C11 B12 B13:C13 B15:C15 B17:C17 B19:C19 B21:C21 B23:C23 B25:C25 B27:C27 B29:C29 B31:C31 B33:C33 B35:C35 B37:C37 B39:C39 B41:C41 B43:C43 B45:C45 B47:C47 B14 B16 B18 B20 B22 B24 B26 B28 B30 B32 B34 B36 B38 B40 B42 B44 B46 B48">
    <cfRule type="cellIs" dxfId="57" priority="20088" operator="equal">
      <formula>$AI$7</formula>
    </cfRule>
    <cfRule type="cellIs" dxfId="56" priority="20089" operator="equal">
      <formula>$AI$4</formula>
    </cfRule>
    <cfRule type="cellIs" dxfId="55" priority="20090" operator="equal">
      <formula>$AI$9</formula>
    </cfRule>
    <cfRule type="cellIs" dxfId="54" priority="20091" operator="equal">
      <formula>$AI$8</formula>
    </cfRule>
    <cfRule type="cellIs" dxfId="53" priority="20092" operator="equal">
      <formula>$AI$5</formula>
    </cfRule>
    <cfRule type="cellIs" dxfId="52" priority="20093" operator="equal">
      <formula>$AQ$6</formula>
    </cfRule>
    <cfRule type="cellIs" dxfId="51" priority="20094" operator="equal">
      <formula>$AI$10</formula>
    </cfRule>
  </conditionalFormatting>
  <conditionalFormatting sqref="AR2:AR6 AJ4:AJ10">
    <cfRule type="expression" dxfId="50" priority="23384">
      <formula>(AI2=$AI$10)</formula>
    </cfRule>
    <cfRule type="expression" dxfId="49" priority="23385">
      <formula>(AI2=$AI$4)</formula>
    </cfRule>
    <cfRule type="expression" dxfId="48" priority="23386">
      <formula>(AI2=$AI$9)</formula>
    </cfRule>
    <cfRule type="expression" dxfId="47" priority="23387">
      <formula>(AI2=$AI$8)</formula>
    </cfRule>
    <cfRule type="expression" dxfId="46" priority="23388">
      <formula>(AI2=$AI$5)</formula>
    </cfRule>
    <cfRule type="expression" dxfId="45" priority="23389">
      <formula>(AI2=$AQ$6)</formula>
    </cfRule>
    <cfRule type="expression" dxfId="44" priority="23390">
      <formula>(AI2=$AI$6)</formula>
    </cfRule>
  </conditionalFormatting>
  <conditionalFormatting sqref="D11 L11 T11 AB11 AJ11 AR11 D13 D15 D17 D19 D21 D23 D25 D27 D29 D31 D33 D35 D37 D39 D41 D43 D45 D47 L13 L15 L17 L19 L21 L23 L25 L27 L29 L31 L33 L35 L37 L39 L41 L43 L45 L47 T13 T15 T17 T19 T21 T23 T25 T27 T29 T31 T33 T35 T37 T39 T41 T43 T45 T47 AB13 AB15 AB17 AB19 AB21 AB23 AB25 AB27 AB29 AB31 AB33 AB35 AB37 AB39 AB41 AB43 AB45 AB47 AJ13 AJ15 AJ17 AJ19 AJ21 AJ23 AJ25 AJ27 AJ29 AJ31 AJ33 AJ35 AJ37 AJ39 AJ41 AJ43 AJ45 AJ47 AR13 AR15 AR17 AR19 AR21 AR23 AR25 AR27 AR29 AR31 AR33 AR35 AR37 AR39 AR41 AR43 AR45 AR47">
    <cfRule type="expression" dxfId="43" priority="23405">
      <formula>(B11=$AI$10)</formula>
    </cfRule>
    <cfRule type="expression" dxfId="42" priority="23406">
      <formula>(B11=$AI$4)</formula>
    </cfRule>
    <cfRule type="expression" dxfId="41" priority="23407">
      <formula>(B11=$AI$9)</formula>
    </cfRule>
    <cfRule type="expression" dxfId="40" priority="23408">
      <formula>(B11=$AI$8)</formula>
    </cfRule>
    <cfRule type="expression" dxfId="39" priority="23409">
      <formula>(B11=$AI$5)</formula>
    </cfRule>
    <cfRule type="expression" dxfId="38" priority="23410">
      <formula>(B11=$AQ$6)</formula>
    </cfRule>
    <cfRule type="expression" dxfId="37" priority="23411">
      <formula>(B11=$AI$6)</formula>
    </cfRule>
  </conditionalFormatting>
  <conditionalFormatting sqref="J11:K11 J12 J13:K13 J15:K15 J17:K17 J19:K19 J21:K21 J23:K23 J25:K25 J27:K27 J29:K29 J31:K31 J33:K33 J35:K35 J37:K37 J39:K39 J41:K41 J43:K43 J45:K45 J47:K47 J14 J16 J18 J20 J22 J24 J26 J28 J30 J32 J34 J36 J38 J40 J42 J44 J46 J48">
    <cfRule type="colorScale" priority="65">
      <colorScale>
        <cfvo type="min"/>
        <cfvo type="max"/>
        <color rgb="FF57BB8A"/>
        <color rgb="FFFFFFFF"/>
      </colorScale>
    </cfRule>
  </conditionalFormatting>
  <conditionalFormatting sqref="J11:K11 J12 J13:K13 J15:K15 J17:K17 J19:K19 J21:K21 J23:K23 J25:K25 J27:K27 J29:K29 J31:K31 J33:K33 J35:K35 J37:K37 J39:K39 J41:K41 J43:K43 J45:K45 J47:K47 J14 J16 J18 J20 J22 J24 J26 J28 J30 J32 J34 J36 J38 J40 J42 J44 J46 J48">
    <cfRule type="cellIs" dxfId="36" priority="66" operator="equal">
      <formula>$AI$7</formula>
    </cfRule>
    <cfRule type="cellIs" dxfId="35" priority="67" operator="equal">
      <formula>$AI$4</formula>
    </cfRule>
    <cfRule type="cellIs" dxfId="34" priority="68" operator="equal">
      <formula>$AI$9</formula>
    </cfRule>
    <cfRule type="cellIs" dxfId="33" priority="69" operator="equal">
      <formula>$AI$8</formula>
    </cfRule>
    <cfRule type="cellIs" dxfId="32" priority="70" operator="equal">
      <formula>$AI$5</formula>
    </cfRule>
    <cfRule type="cellIs" dxfId="31" priority="71" operator="equal">
      <formula>$AQ$6</formula>
    </cfRule>
    <cfRule type="cellIs" dxfId="30" priority="72" operator="equal">
      <formula>$AI$10</formula>
    </cfRule>
  </conditionalFormatting>
  <conditionalFormatting sqref="R11:S11 R12 R13:S13 R15:S15 R17:S17 R19:S19 R21:S21 R23:S23 R25:S25 R27:S27 R29:S29 R31:S31 R33:S33 R35:S35 R37:S37 R39:S39 R41:S41 R43:S43 R45:S45 R47:S47 R14 R16 R18 R20 R22 R24 R26 R28 R30 R32 R34 R36 R38 R40 R42 R44 R46 R48">
    <cfRule type="colorScale" priority="25">
      <colorScale>
        <cfvo type="min"/>
        <cfvo type="max"/>
        <color rgb="FF57BB8A"/>
        <color rgb="FFFFFFFF"/>
      </colorScale>
    </cfRule>
  </conditionalFormatting>
  <conditionalFormatting sqref="R11:S11 R12 R13:S13 R15:S15 R17:S17 R19:S19 R21:S21 R23:S23 R25:S25 R27:S27 R29:S29 R31:S31 R33:S33 R35:S35 R37:S37 R39:S39 R41:S41 R43:S43 R45:S45 R47:S47 R14 R16 R18 R20 R22 R24 R26 R28 R30 R32 R34 R36 R38 R40 R42 R44 R46 R48">
    <cfRule type="cellIs" dxfId="29" priority="26" operator="equal">
      <formula>$AI$7</formula>
    </cfRule>
    <cfRule type="cellIs" dxfId="28" priority="27" operator="equal">
      <formula>$AI$4</formula>
    </cfRule>
    <cfRule type="cellIs" dxfId="27" priority="28" operator="equal">
      <formula>$AI$9</formula>
    </cfRule>
    <cfRule type="cellIs" dxfId="26" priority="29" operator="equal">
      <formula>$AI$8</formula>
    </cfRule>
    <cfRule type="cellIs" dxfId="25" priority="30" operator="equal">
      <formula>$AI$5</formula>
    </cfRule>
    <cfRule type="cellIs" dxfId="24" priority="31" operator="equal">
      <formula>$AQ$6</formula>
    </cfRule>
    <cfRule type="cellIs" dxfId="23" priority="32" operator="equal">
      <formula>$AI$10</formula>
    </cfRule>
  </conditionalFormatting>
  <conditionalFormatting sqref="Z11:AA11 Z12 Z13:AA13 Z15:AA15 Z17:AA17 Z19:AA19 Z21:AA21 Z23:AA23 Z25:AA25 Z27:AA27 Z29:AA29 Z31:AA31 Z33:AA33 Z35:AA35 Z37:AA37 Z39:AA39 Z41:AA41 Z43:AA43 Z45:AA45 Z47:AA47 Z14 Z16 Z18 Z20 Z22 Z24 Z26 Z28 Z30 Z32 Z34 Z36 Z38 Z40 Z42 Z44 Z46 Z48">
    <cfRule type="colorScale" priority="17">
      <colorScale>
        <cfvo type="min"/>
        <cfvo type="max"/>
        <color rgb="FF57BB8A"/>
        <color rgb="FFFFFFFF"/>
      </colorScale>
    </cfRule>
  </conditionalFormatting>
  <conditionalFormatting sqref="Z11:AA11 Z12 Z13:AA13 Z15:AA15 Z17:AA17 Z19:AA19 Z21:AA21 Z23:AA23 Z25:AA25 Z27:AA27 Z29:AA29 Z31:AA31 Z33:AA33 Z35:AA35 Z37:AA37 Z39:AA39 Z41:AA41 Z43:AA43 Z45:AA45 Z47:AA47 Z14 Z16 Z18 Z20 Z22 Z24 Z26 Z28 Z30 Z32 Z34 Z36 Z38 Z40 Z42 Z44 Z46 Z48">
    <cfRule type="cellIs" dxfId="22" priority="18" operator="equal">
      <formula>$AI$7</formula>
    </cfRule>
    <cfRule type="cellIs" dxfId="21" priority="19" operator="equal">
      <formula>$AI$4</formula>
    </cfRule>
    <cfRule type="cellIs" dxfId="20" priority="20" operator="equal">
      <formula>$AI$9</formula>
    </cfRule>
    <cfRule type="cellIs" dxfId="19" priority="21" operator="equal">
      <formula>$AI$8</formula>
    </cfRule>
    <cfRule type="cellIs" dxfId="18" priority="22" operator="equal">
      <formula>$AI$5</formula>
    </cfRule>
    <cfRule type="cellIs" dxfId="17" priority="23" operator="equal">
      <formula>$AQ$6</formula>
    </cfRule>
    <cfRule type="cellIs" dxfId="16" priority="24" operator="equal">
      <formula>$AI$10</formula>
    </cfRule>
  </conditionalFormatting>
  <conditionalFormatting sqref="AH11:AI11 AH12 AH13:AI13 AH15:AI15 AH17:AI17 AH19:AI19 AH21:AI21 AH23:AI23 AH25:AI25 AH27:AI27 AH29:AI29 AH31:AI31 AH33:AI33 AH35:AI35 AH37:AI37 AH39:AI39 AH41:AI41 AH43:AI43 AH45:AI45 AH47:AI47 AH14 AH16 AH18 AH20 AH22 AH24 AH26 AH28 AH30 AH32 AH34 AH36 AH38 AH40 AH42 AH44 AH46 AH48">
    <cfRule type="colorScale" priority="9">
      <colorScale>
        <cfvo type="min"/>
        <cfvo type="max"/>
        <color rgb="FF57BB8A"/>
        <color rgb="FFFFFFFF"/>
      </colorScale>
    </cfRule>
  </conditionalFormatting>
  <conditionalFormatting sqref="AH11:AI11 AH12 AH13:AI13 AH15:AI15 AH17:AI17 AH19:AI19 AH21:AI21 AH23:AI23 AH25:AI25 AH27:AI27 AH29:AI29 AH31:AI31 AH33:AI33 AH35:AI35 AH37:AI37 AH39:AI39 AH41:AI41 AH43:AI43 AH45:AI45 AH47:AI47 AH14 AH16 AH18 AH20 AH22 AH24 AH26 AH28 AH30 AH32 AH34 AH36 AH38 AH40 AH42 AH44 AH46 AH48">
    <cfRule type="cellIs" dxfId="15" priority="10" operator="equal">
      <formula>$AI$7</formula>
    </cfRule>
    <cfRule type="cellIs" dxfId="14" priority="11" operator="equal">
      <formula>$AI$4</formula>
    </cfRule>
    <cfRule type="cellIs" dxfId="13" priority="12" operator="equal">
      <formula>$AI$9</formula>
    </cfRule>
    <cfRule type="cellIs" dxfId="12" priority="13" operator="equal">
      <formula>$AI$8</formula>
    </cfRule>
    <cfRule type="cellIs" dxfId="11" priority="14" operator="equal">
      <formula>$AI$5</formula>
    </cfRule>
    <cfRule type="cellIs" dxfId="10" priority="15" operator="equal">
      <formula>$AQ$6</formula>
    </cfRule>
    <cfRule type="cellIs" dxfId="9" priority="16" operator="equal">
      <formula>$AI$10</formula>
    </cfRule>
  </conditionalFormatting>
  <conditionalFormatting sqref="AP11:AQ11 AP12 AP13:AQ13 AP15:AQ15 AP17:AQ17 AP19:AQ19 AP21:AQ21 AP23:AQ23 AP25:AQ25 AP27:AQ27 AP29:AQ29 AP31:AQ31 AP33:AQ33 AP35:AQ35 AP37:AQ37 AP39:AQ39 AP41:AQ41 AP43:AQ43 AP45:AQ45 AP47:AQ47 AP14 AP16 AP18 AP20 AP22 AP24 AP26 AP28 AP30 AP32 AP34 AP36 AP38 AP40 AP42 AP44 AP46 AP48">
    <cfRule type="colorScale" priority="1">
      <colorScale>
        <cfvo type="min"/>
        <cfvo type="max"/>
        <color rgb="FF57BB8A"/>
        <color rgb="FFFFFFFF"/>
      </colorScale>
    </cfRule>
  </conditionalFormatting>
  <conditionalFormatting sqref="AP11:AQ11 AP12 AP13:AQ13 AP15:AQ15 AP17:AQ17 AP19:AQ19 AP21:AQ21 AP23:AQ23 AP25:AQ25 AP27:AQ27 AP29:AQ29 AP31:AQ31 AP33:AQ33 AP35:AQ35 AP37:AQ37 AP39:AQ39 AP41:AQ41 AP43:AQ43 AP45:AQ45 AP47:AQ47 AP14 AP16 AP18 AP20 AP22 AP24 AP26 AP28 AP30 AP32 AP34 AP36 AP38 AP40 AP42 AP44 AP46 AP48">
    <cfRule type="cellIs" dxfId="8" priority="2" operator="equal">
      <formula>$AI$7</formula>
    </cfRule>
    <cfRule type="cellIs" dxfId="7" priority="3" operator="equal">
      <formula>$AI$4</formula>
    </cfRule>
    <cfRule type="cellIs" dxfId="6" priority="4" operator="equal">
      <formula>$AI$9</formula>
    </cfRule>
    <cfRule type="cellIs" dxfId="5" priority="5" operator="equal">
      <formula>$AI$8</formula>
    </cfRule>
    <cfRule type="cellIs" dxfId="4" priority="6" operator="equal">
      <formula>$AI$5</formula>
    </cfRule>
    <cfRule type="cellIs" dxfId="3" priority="7" operator="equal">
      <formula>$AQ$6</formula>
    </cfRule>
    <cfRule type="cellIs" dxfId="2" priority="8" operator="equal">
      <formula>$AI$10</formula>
    </cfRule>
  </conditionalFormatting>
  <dataValidations count="2">
    <dataValidation type="list" allowBlank="1" sqref="C11 AI13 AI15 AI17 AI19 AI21 AI23 AI25 AI27 AI29 AI31 AI33 AI35 AI37 AI39 AI41 AI43 AI45 AI47 AA13 S13 K13 K15 K17 K19 K21 K23 K25 K27 K29 K31 K33 K35 K37 K39 C13 C15 C17 C19 C21 C23 C25 C27 C29 C31 C33 C35 C37 C39 C41 C43 C45 S15 S17 S19 S21 S23 S25 K41 S27 K43 C47 AI11 AA15 S29 K45 K47 K11 S31 AA17 AA19 AA21 AA23 AA25 AA27 AA29 AA31 AA33 AA35 AA37 AA39 AA41 AA43 AA45 AA47 AA11 S33 S35 S37 S39 S41 S43 S45 S47 S11 AQ13 AQ15 AQ17 AQ19 AQ21 AQ23 AQ25 AQ27 AQ29 AQ31 AQ33 AQ35 AQ37 AQ39 AQ41 AQ43 AQ45 AQ47 AQ11" xr:uid="{B3B518FF-093B-4D05-9B7A-1234F85A15B7}">
      <formula1>$AQ$2:$AQ$6</formula1>
    </dataValidation>
    <dataValidation type="list" allowBlank="1" sqref="B11:B48 J11:J48 AH11:AH48 R11:R48 Z11:Z48 AP11:AP48" xr:uid="{B7C37222-3A86-41E0-BDE3-913944ECF352}">
      <formula1>$AI$4:$AI$10</formula1>
    </dataValidation>
  </dataValidations>
  <pageMargins left="0.35" right="0.35" top="0.35" bottom="0.5" header="0" footer="0"/>
  <pageSetup fitToHeight="0" orientation="portrait" r:id="rId2"/>
  <headerFooter>
    <oddFooter>&amp;L01+049Appointment Schedule Template © 2017 by Vertex42.com&amp;R01+049https://www.vertex42.com/ExcelTemplates/appointment-schedule.html</oddFooter>
  </headerFooter>
  <extLst>
    <ext xmlns:x14="http://schemas.microsoft.com/office/spreadsheetml/2009/9/main" uri="{CCE6A557-97BC-4b89-ADB6-D9C93CAAB3DF}">
      <x14:dataValidations xmlns:xm="http://schemas.microsoft.com/office/excel/2006/main" count="1">
        <x14:dataValidation type="list" allowBlank="1" showErrorMessage="1" xr:uid="{DD633054-DF4F-4AD3-8D61-2BA166CF138F}">
          <x14:formula1>
            <xm:f>holiday!$E$14:$E$25</xm:f>
          </x14:formula1>
          <xm:sqref>E2:K2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工作表4"/>
  <dimension ref="A1:M1000"/>
  <sheetViews>
    <sheetView topLeftCell="A6" workbookViewId="0">
      <selection activeCell="H24" sqref="H24"/>
    </sheetView>
  </sheetViews>
  <sheetFormatPr defaultColWidth="14.28515625" defaultRowHeight="15" customHeight="1"/>
  <cols>
    <col min="1" max="1" width="10.85546875" customWidth="1"/>
    <col min="2" max="2" width="31.7109375" customWidth="1"/>
    <col min="3" max="4" width="8.7109375" customWidth="1"/>
    <col min="5" max="5" width="10.5703125" customWidth="1"/>
    <col min="6" max="6" width="8.7109375" customWidth="1"/>
    <col min="7" max="7" width="10.85546875" customWidth="1"/>
    <col min="8" max="26" width="8.7109375" customWidth="1"/>
  </cols>
  <sheetData>
    <row r="1" spans="1:7" ht="12.75" customHeight="1">
      <c r="A1" s="6" t="s">
        <v>19</v>
      </c>
      <c r="B1" s="6"/>
      <c r="E1" s="8" t="s">
        <v>20</v>
      </c>
      <c r="F1" s="6" t="s">
        <v>21</v>
      </c>
    </row>
    <row r="2" spans="1:7" ht="12.75" customHeight="1">
      <c r="A2" s="29">
        <v>44827</v>
      </c>
      <c r="B2" t="s">
        <v>22</v>
      </c>
      <c r="D2" s="51"/>
      <c r="E2" s="15">
        <v>44743</v>
      </c>
      <c r="F2" s="6">
        <f t="shared" ref="F2:F46" si="0">WEEKDAY(E2)</f>
        <v>6</v>
      </c>
      <c r="G2" s="8">
        <f t="shared" ref="G2:G46" si="1">E2-F2+1</f>
        <v>44738</v>
      </c>
    </row>
    <row r="3" spans="1:7" ht="12.75" customHeight="1">
      <c r="A3" s="29">
        <v>44866</v>
      </c>
      <c r="B3" t="s">
        <v>23</v>
      </c>
      <c r="E3" s="15">
        <f t="shared" ref="E3:E46" si="2">EDATE(E2,1)</f>
        <v>44774</v>
      </c>
      <c r="F3" s="6">
        <f t="shared" si="0"/>
        <v>2</v>
      </c>
      <c r="G3" s="8">
        <f t="shared" si="1"/>
        <v>44773</v>
      </c>
    </row>
    <row r="4" spans="1:7" ht="12.75" customHeight="1">
      <c r="A4" s="29">
        <v>44920</v>
      </c>
      <c r="B4" t="s">
        <v>24</v>
      </c>
      <c r="E4" s="15">
        <f t="shared" si="2"/>
        <v>44805</v>
      </c>
      <c r="F4" s="6">
        <f t="shared" si="0"/>
        <v>5</v>
      </c>
      <c r="G4" s="8">
        <f t="shared" si="1"/>
        <v>44801</v>
      </c>
    </row>
    <row r="5" spans="1:7" ht="12.75" customHeight="1">
      <c r="A5" s="29">
        <v>44921</v>
      </c>
      <c r="B5" t="s">
        <v>25</v>
      </c>
      <c r="E5" s="15">
        <f t="shared" si="2"/>
        <v>44835</v>
      </c>
      <c r="F5" s="6">
        <f t="shared" si="0"/>
        <v>7</v>
      </c>
      <c r="G5" s="8">
        <f t="shared" si="1"/>
        <v>44829</v>
      </c>
    </row>
    <row r="6" spans="1:7" ht="12.75" customHeight="1">
      <c r="A6" s="29">
        <v>44922</v>
      </c>
      <c r="B6" t="s">
        <v>26</v>
      </c>
      <c r="E6" s="15">
        <f t="shared" si="2"/>
        <v>44866</v>
      </c>
      <c r="F6" s="6">
        <f t="shared" si="0"/>
        <v>3</v>
      </c>
      <c r="G6" s="8">
        <f t="shared" si="1"/>
        <v>44864</v>
      </c>
    </row>
    <row r="7" spans="1:7" ht="12.75" customHeight="1">
      <c r="A7" s="29">
        <v>44927</v>
      </c>
      <c r="B7" t="s">
        <v>27</v>
      </c>
      <c r="E7" s="15">
        <f t="shared" si="2"/>
        <v>44896</v>
      </c>
      <c r="F7" s="6">
        <f t="shared" si="0"/>
        <v>5</v>
      </c>
      <c r="G7" s="8">
        <f t="shared" si="1"/>
        <v>44892</v>
      </c>
    </row>
    <row r="8" spans="1:7" ht="12.75" customHeight="1">
      <c r="A8" s="29">
        <v>44928</v>
      </c>
      <c r="B8" t="s">
        <v>28</v>
      </c>
      <c r="E8" s="15">
        <f t="shared" si="2"/>
        <v>44927</v>
      </c>
      <c r="F8" s="6">
        <f t="shared" si="0"/>
        <v>1</v>
      </c>
      <c r="G8" s="8">
        <f t="shared" si="1"/>
        <v>44927</v>
      </c>
    </row>
    <row r="9" spans="1:7" ht="12.75" customHeight="1">
      <c r="A9" s="29">
        <v>44952</v>
      </c>
      <c r="B9" t="s">
        <v>29</v>
      </c>
      <c r="E9" s="15">
        <f t="shared" si="2"/>
        <v>44958</v>
      </c>
      <c r="F9" s="6">
        <f t="shared" si="0"/>
        <v>4</v>
      </c>
      <c r="G9" s="8">
        <f t="shared" si="1"/>
        <v>44955</v>
      </c>
    </row>
    <row r="10" spans="1:7" ht="12.75" customHeight="1">
      <c r="A10" s="29">
        <v>44998</v>
      </c>
      <c r="B10" t="s">
        <v>30</v>
      </c>
      <c r="E10" s="15">
        <f t="shared" si="2"/>
        <v>44986</v>
      </c>
      <c r="F10" s="6">
        <f t="shared" si="0"/>
        <v>4</v>
      </c>
      <c r="G10" s="8">
        <f t="shared" si="1"/>
        <v>44983</v>
      </c>
    </row>
    <row r="11" spans="1:7" ht="12.75" customHeight="1">
      <c r="A11" s="29">
        <v>45023</v>
      </c>
      <c r="B11" t="s">
        <v>31</v>
      </c>
      <c r="E11" s="15">
        <f t="shared" si="2"/>
        <v>45017</v>
      </c>
      <c r="F11" s="6">
        <f t="shared" si="0"/>
        <v>7</v>
      </c>
      <c r="G11" s="8">
        <f t="shared" si="1"/>
        <v>45011</v>
      </c>
    </row>
    <row r="12" spans="1:7" ht="12.75" customHeight="1">
      <c r="A12" s="29">
        <v>45024</v>
      </c>
      <c r="B12" t="s">
        <v>32</v>
      </c>
      <c r="E12" s="15">
        <f t="shared" si="2"/>
        <v>45047</v>
      </c>
      <c r="F12" s="6">
        <f t="shared" si="0"/>
        <v>2</v>
      </c>
      <c r="G12" s="8">
        <f t="shared" si="1"/>
        <v>45046</v>
      </c>
    </row>
    <row r="13" spans="1:7" ht="12.75" customHeight="1">
      <c r="A13" s="29">
        <v>45025</v>
      </c>
      <c r="B13" t="s">
        <v>33</v>
      </c>
      <c r="E13" s="15">
        <f t="shared" si="2"/>
        <v>45078</v>
      </c>
      <c r="F13" s="6">
        <f t="shared" si="0"/>
        <v>5</v>
      </c>
      <c r="G13" s="8">
        <f t="shared" si="1"/>
        <v>45074</v>
      </c>
    </row>
    <row r="14" spans="1:7" ht="12.75" customHeight="1">
      <c r="A14" s="29">
        <v>45026</v>
      </c>
      <c r="B14" t="s">
        <v>34</v>
      </c>
      <c r="E14" s="15">
        <f t="shared" si="2"/>
        <v>45108</v>
      </c>
      <c r="F14" s="6">
        <f t="shared" si="0"/>
        <v>7</v>
      </c>
      <c r="G14" s="8">
        <f t="shared" si="1"/>
        <v>45102</v>
      </c>
    </row>
    <row r="15" spans="1:7" ht="12.75" customHeight="1">
      <c r="A15" s="29">
        <v>45041</v>
      </c>
      <c r="B15" t="s">
        <v>35</v>
      </c>
      <c r="E15" s="15">
        <f t="shared" si="2"/>
        <v>45139</v>
      </c>
      <c r="F15" s="6">
        <f t="shared" si="0"/>
        <v>3</v>
      </c>
      <c r="G15" s="8">
        <f t="shared" si="1"/>
        <v>45137</v>
      </c>
    </row>
    <row r="16" spans="1:7" ht="12.75" customHeight="1">
      <c r="A16" s="29">
        <v>45089</v>
      </c>
      <c r="B16" t="s">
        <v>36</v>
      </c>
      <c r="E16" s="15">
        <f t="shared" si="2"/>
        <v>45170</v>
      </c>
      <c r="F16" s="6">
        <f t="shared" si="0"/>
        <v>6</v>
      </c>
      <c r="G16" s="8">
        <f t="shared" si="1"/>
        <v>45165</v>
      </c>
    </row>
    <row r="17" spans="1:13" ht="12.75" customHeight="1">
      <c r="B17" t="s">
        <v>22</v>
      </c>
      <c r="E17" s="15">
        <f t="shared" si="2"/>
        <v>45200</v>
      </c>
      <c r="F17" s="6">
        <f t="shared" si="0"/>
        <v>1</v>
      </c>
      <c r="G17" s="8">
        <f t="shared" si="1"/>
        <v>45200</v>
      </c>
    </row>
    <row r="18" spans="1:13" ht="12.75" customHeight="1">
      <c r="A18" s="29">
        <v>45237</v>
      </c>
      <c r="B18" t="s">
        <v>23</v>
      </c>
      <c r="E18" s="15">
        <f t="shared" si="2"/>
        <v>45231</v>
      </c>
      <c r="F18" s="6">
        <f t="shared" si="0"/>
        <v>4</v>
      </c>
      <c r="G18" s="8">
        <f t="shared" si="1"/>
        <v>45228</v>
      </c>
    </row>
    <row r="19" spans="1:13" ht="12.75" customHeight="1">
      <c r="A19" s="29">
        <v>45285</v>
      </c>
      <c r="B19" t="s">
        <v>24</v>
      </c>
      <c r="E19" s="15">
        <f t="shared" si="2"/>
        <v>45261</v>
      </c>
      <c r="F19" s="6">
        <f t="shared" si="0"/>
        <v>6</v>
      </c>
      <c r="G19" s="8">
        <f t="shared" si="1"/>
        <v>45256</v>
      </c>
    </row>
    <row r="20" spans="1:13" ht="12.75" customHeight="1">
      <c r="A20" s="29">
        <v>45286</v>
      </c>
      <c r="B20" t="s">
        <v>25</v>
      </c>
      <c r="E20" s="15">
        <f t="shared" si="2"/>
        <v>45292</v>
      </c>
      <c r="F20" s="6">
        <f t="shared" si="0"/>
        <v>2</v>
      </c>
      <c r="G20" s="8">
        <f t="shared" si="1"/>
        <v>45291</v>
      </c>
    </row>
    <row r="21" spans="1:13" ht="12.75" customHeight="1" thickBot="1">
      <c r="A21" s="83">
        <v>45292</v>
      </c>
      <c r="B21" s="79" t="s">
        <v>57</v>
      </c>
      <c r="E21" s="15">
        <f t="shared" si="2"/>
        <v>45323</v>
      </c>
      <c r="F21" s="6">
        <f t="shared" si="0"/>
        <v>5</v>
      </c>
      <c r="G21" s="8">
        <f t="shared" si="1"/>
        <v>45319</v>
      </c>
    </row>
    <row r="22" spans="1:13" ht="12.75" customHeight="1" thickBot="1">
      <c r="A22" s="84">
        <v>45317</v>
      </c>
      <c r="B22" s="80" t="s">
        <v>58</v>
      </c>
      <c r="E22" s="15">
        <f t="shared" si="2"/>
        <v>45352</v>
      </c>
      <c r="F22" s="6">
        <f t="shared" si="0"/>
        <v>6</v>
      </c>
      <c r="G22" s="8">
        <f t="shared" si="1"/>
        <v>45347</v>
      </c>
    </row>
    <row r="23" spans="1:13" ht="12.75" customHeight="1" thickBot="1">
      <c r="A23" s="85">
        <v>45362</v>
      </c>
      <c r="B23" s="81" t="s">
        <v>59</v>
      </c>
      <c r="E23" s="15">
        <f t="shared" si="2"/>
        <v>45383</v>
      </c>
      <c r="F23" s="6">
        <f t="shared" si="0"/>
        <v>2</v>
      </c>
      <c r="G23" s="8">
        <f t="shared" si="1"/>
        <v>45382</v>
      </c>
      <c r="M23" s="79"/>
    </row>
    <row r="24" spans="1:13" ht="12.75" customHeight="1" thickBot="1">
      <c r="A24" s="84">
        <v>45380</v>
      </c>
      <c r="B24" s="80" t="s">
        <v>63</v>
      </c>
      <c r="E24" s="15">
        <f t="shared" si="2"/>
        <v>45413</v>
      </c>
      <c r="F24" s="6">
        <f t="shared" si="0"/>
        <v>4</v>
      </c>
      <c r="G24" s="8">
        <f t="shared" si="1"/>
        <v>45410</v>
      </c>
      <c r="M24" s="80"/>
    </row>
    <row r="25" spans="1:13" ht="12.75" customHeight="1" thickBot="1">
      <c r="A25" s="85">
        <v>45381</v>
      </c>
      <c r="B25" s="81" t="s">
        <v>64</v>
      </c>
      <c r="E25" s="15">
        <f t="shared" si="2"/>
        <v>45444</v>
      </c>
      <c r="F25" s="6">
        <f t="shared" si="0"/>
        <v>7</v>
      </c>
      <c r="G25" s="8">
        <f t="shared" si="1"/>
        <v>45438</v>
      </c>
      <c r="M25" s="81"/>
    </row>
    <row r="26" spans="1:13" ht="12.75" customHeight="1" thickBot="1">
      <c r="A26" s="84">
        <v>45382</v>
      </c>
      <c r="B26" s="80" t="s">
        <v>60</v>
      </c>
      <c r="E26" s="15">
        <f t="shared" si="2"/>
        <v>45474</v>
      </c>
      <c r="F26" s="6">
        <f t="shared" si="0"/>
        <v>2</v>
      </c>
      <c r="G26" s="8">
        <f t="shared" si="1"/>
        <v>45473</v>
      </c>
      <c r="M26" s="80"/>
    </row>
    <row r="27" spans="1:13" ht="12.75" customHeight="1" thickBot="1">
      <c r="A27" s="85">
        <v>45383</v>
      </c>
      <c r="B27" s="81" t="s">
        <v>61</v>
      </c>
      <c r="E27" s="15">
        <f t="shared" si="2"/>
        <v>45505</v>
      </c>
      <c r="F27" s="6">
        <f t="shared" si="0"/>
        <v>5</v>
      </c>
      <c r="G27" s="8">
        <f t="shared" si="1"/>
        <v>45501</v>
      </c>
      <c r="M27" s="81"/>
    </row>
    <row r="28" spans="1:13" ht="12.75" customHeight="1" thickBot="1">
      <c r="A28" s="84">
        <v>45407</v>
      </c>
      <c r="B28" s="80" t="s">
        <v>65</v>
      </c>
      <c r="E28" s="15">
        <f t="shared" si="2"/>
        <v>45536</v>
      </c>
      <c r="F28" s="6">
        <f t="shared" si="0"/>
        <v>1</v>
      </c>
      <c r="G28" s="8">
        <f t="shared" si="1"/>
        <v>45536</v>
      </c>
      <c r="M28" s="80"/>
    </row>
    <row r="29" spans="1:13" ht="12.75" customHeight="1" thickBot="1">
      <c r="A29" s="85">
        <v>45453</v>
      </c>
      <c r="B29" s="81" t="s">
        <v>66</v>
      </c>
      <c r="E29" s="15">
        <f t="shared" si="2"/>
        <v>45566</v>
      </c>
      <c r="F29" s="6">
        <f t="shared" si="0"/>
        <v>3</v>
      </c>
      <c r="G29" s="8">
        <f t="shared" si="1"/>
        <v>45564</v>
      </c>
      <c r="M29" s="81"/>
    </row>
    <row r="30" spans="1:13" ht="12.75" customHeight="1" thickBot="1">
      <c r="A30" s="84" t="s">
        <v>68</v>
      </c>
      <c r="B30" s="80" t="s">
        <v>67</v>
      </c>
      <c r="E30" s="15">
        <f t="shared" si="2"/>
        <v>45597</v>
      </c>
      <c r="F30" s="6">
        <f t="shared" si="0"/>
        <v>6</v>
      </c>
      <c r="G30" s="8">
        <f t="shared" si="1"/>
        <v>45592</v>
      </c>
      <c r="M30" s="80"/>
    </row>
    <row r="31" spans="1:13" ht="12.75" customHeight="1" thickBot="1">
      <c r="A31" s="85">
        <v>45601</v>
      </c>
      <c r="B31" s="81" t="s">
        <v>69</v>
      </c>
      <c r="E31" s="15">
        <f t="shared" si="2"/>
        <v>45627</v>
      </c>
      <c r="F31" s="6">
        <f t="shared" si="0"/>
        <v>1</v>
      </c>
      <c r="G31" s="8">
        <f t="shared" si="1"/>
        <v>45627</v>
      </c>
      <c r="M31" s="81"/>
    </row>
    <row r="32" spans="1:13" ht="12.75" customHeight="1" thickBot="1">
      <c r="A32" s="86">
        <v>45651</v>
      </c>
      <c r="B32" s="82" t="s">
        <v>70</v>
      </c>
      <c r="E32" s="15">
        <f t="shared" si="2"/>
        <v>45658</v>
      </c>
      <c r="F32" s="6">
        <f t="shared" si="0"/>
        <v>4</v>
      </c>
      <c r="G32" s="8">
        <f t="shared" si="1"/>
        <v>45655</v>
      </c>
      <c r="M32" s="80"/>
    </row>
    <row r="33" spans="1:13" ht="12.75" customHeight="1" thickBot="1">
      <c r="A33" s="85">
        <v>45652</v>
      </c>
      <c r="B33" s="81" t="s">
        <v>62</v>
      </c>
      <c r="E33" s="15">
        <f t="shared" si="2"/>
        <v>45689</v>
      </c>
      <c r="F33" s="6">
        <f t="shared" si="0"/>
        <v>7</v>
      </c>
      <c r="G33" s="8">
        <f t="shared" si="1"/>
        <v>45683</v>
      </c>
      <c r="M33" s="81"/>
    </row>
    <row r="34" spans="1:13" ht="12.75" customHeight="1" thickBot="1">
      <c r="A34" s="93">
        <v>45658</v>
      </c>
      <c r="B34" s="94" t="s">
        <v>57</v>
      </c>
      <c r="E34" s="15">
        <f t="shared" si="2"/>
        <v>45717</v>
      </c>
      <c r="F34" s="6">
        <f t="shared" si="0"/>
        <v>7</v>
      </c>
      <c r="G34" s="8">
        <f t="shared" si="1"/>
        <v>45711</v>
      </c>
      <c r="M34" s="82"/>
    </row>
    <row r="35" spans="1:13" ht="12.75" customHeight="1" thickBot="1">
      <c r="A35" s="93">
        <v>45684</v>
      </c>
      <c r="B35" s="94" t="s">
        <v>77</v>
      </c>
      <c r="E35" s="15">
        <f t="shared" si="2"/>
        <v>45748</v>
      </c>
      <c r="F35" s="6">
        <f t="shared" si="0"/>
        <v>3</v>
      </c>
      <c r="G35" s="8">
        <f t="shared" si="1"/>
        <v>45746</v>
      </c>
      <c r="M35" s="81"/>
    </row>
    <row r="36" spans="1:13" ht="12.75" customHeight="1" thickBot="1">
      <c r="A36" s="93">
        <v>45726</v>
      </c>
      <c r="B36" s="94" t="s">
        <v>59</v>
      </c>
      <c r="E36" s="15">
        <f t="shared" si="2"/>
        <v>45778</v>
      </c>
      <c r="F36" s="6">
        <f t="shared" si="0"/>
        <v>5</v>
      </c>
      <c r="G36" s="8">
        <f t="shared" si="1"/>
        <v>45774</v>
      </c>
    </row>
    <row r="37" spans="1:13" ht="12.75" customHeight="1" thickBot="1">
      <c r="A37" s="93">
        <v>45765</v>
      </c>
      <c r="B37" s="94" t="s">
        <v>63</v>
      </c>
      <c r="E37" s="15">
        <f t="shared" si="2"/>
        <v>45809</v>
      </c>
      <c r="F37" s="6">
        <f t="shared" si="0"/>
        <v>1</v>
      </c>
      <c r="G37" s="8">
        <f t="shared" si="1"/>
        <v>45809</v>
      </c>
    </row>
    <row r="38" spans="1:13" ht="12.75" customHeight="1" thickBot="1">
      <c r="A38" s="93">
        <v>45766</v>
      </c>
      <c r="B38" s="94" t="s">
        <v>64</v>
      </c>
      <c r="E38" s="15">
        <f t="shared" si="2"/>
        <v>45839</v>
      </c>
      <c r="F38" s="6">
        <f t="shared" si="0"/>
        <v>3</v>
      </c>
      <c r="G38" s="8">
        <f t="shared" si="1"/>
        <v>45837</v>
      </c>
    </row>
    <row r="39" spans="1:13" ht="12.75" customHeight="1" thickBot="1">
      <c r="A39" s="93">
        <v>45767</v>
      </c>
      <c r="B39" s="94" t="s">
        <v>60</v>
      </c>
      <c r="E39" s="15">
        <f t="shared" si="2"/>
        <v>45870</v>
      </c>
      <c r="F39" s="6">
        <f t="shared" si="0"/>
        <v>6</v>
      </c>
      <c r="G39" s="8">
        <f t="shared" si="1"/>
        <v>45865</v>
      </c>
    </row>
    <row r="40" spans="1:13" ht="12.75" customHeight="1" thickBot="1">
      <c r="A40" s="93">
        <v>45768</v>
      </c>
      <c r="B40" s="94" t="s">
        <v>61</v>
      </c>
      <c r="E40" s="15">
        <f t="shared" si="2"/>
        <v>45901</v>
      </c>
      <c r="F40" s="6">
        <f t="shared" si="0"/>
        <v>2</v>
      </c>
      <c r="G40" s="8">
        <f t="shared" si="1"/>
        <v>45900</v>
      </c>
    </row>
    <row r="41" spans="1:13" ht="12.75" customHeight="1" thickBot="1">
      <c r="A41" s="93">
        <v>45772</v>
      </c>
      <c r="B41" s="94" t="s">
        <v>65</v>
      </c>
      <c r="E41" s="15">
        <f t="shared" si="2"/>
        <v>45931</v>
      </c>
      <c r="F41" s="6">
        <f t="shared" si="0"/>
        <v>4</v>
      </c>
      <c r="G41" s="8">
        <f t="shared" si="1"/>
        <v>45928</v>
      </c>
    </row>
    <row r="42" spans="1:13" ht="12.75" customHeight="1" thickBot="1">
      <c r="A42" s="93">
        <v>45817</v>
      </c>
      <c r="B42" s="94" t="s">
        <v>78</v>
      </c>
      <c r="E42" s="15">
        <f t="shared" si="2"/>
        <v>45962</v>
      </c>
      <c r="F42" s="6">
        <f t="shared" si="0"/>
        <v>7</v>
      </c>
      <c r="G42" s="8">
        <f t="shared" si="1"/>
        <v>45956</v>
      </c>
    </row>
    <row r="43" spans="1:13" ht="12.75" customHeight="1" thickBot="1">
      <c r="A43" s="93">
        <v>45926</v>
      </c>
      <c r="B43" s="94" t="s">
        <v>67</v>
      </c>
      <c r="E43" s="15">
        <f t="shared" si="2"/>
        <v>45992</v>
      </c>
      <c r="F43" s="6">
        <f t="shared" si="0"/>
        <v>2</v>
      </c>
      <c r="G43" s="8">
        <f t="shared" si="1"/>
        <v>45991</v>
      </c>
    </row>
    <row r="44" spans="1:13" ht="12.75" customHeight="1" thickBot="1">
      <c r="A44" s="93">
        <v>45965</v>
      </c>
      <c r="B44" s="94" t="s">
        <v>69</v>
      </c>
      <c r="E44" s="15">
        <f t="shared" si="2"/>
        <v>46023</v>
      </c>
      <c r="F44" s="6">
        <f t="shared" si="0"/>
        <v>5</v>
      </c>
      <c r="G44" s="8">
        <f t="shared" si="1"/>
        <v>46019</v>
      </c>
    </row>
    <row r="45" spans="1:13" ht="12.75" customHeight="1" thickBot="1">
      <c r="A45" s="93">
        <v>46016</v>
      </c>
      <c r="B45" s="94" t="s">
        <v>70</v>
      </c>
      <c r="E45" s="15">
        <f t="shared" si="2"/>
        <v>46054</v>
      </c>
      <c r="F45" s="6">
        <f t="shared" si="0"/>
        <v>1</v>
      </c>
      <c r="G45" s="8">
        <f t="shared" si="1"/>
        <v>46054</v>
      </c>
    </row>
    <row r="46" spans="1:13" ht="12.75" customHeight="1">
      <c r="A46" s="93">
        <v>46017</v>
      </c>
      <c r="B46" s="94" t="s">
        <v>62</v>
      </c>
      <c r="E46" s="15">
        <f t="shared" si="2"/>
        <v>46082</v>
      </c>
      <c r="F46" s="6">
        <f t="shared" si="0"/>
        <v>1</v>
      </c>
      <c r="G46" s="8">
        <f t="shared" si="1"/>
        <v>46082</v>
      </c>
    </row>
    <row r="47" spans="1:13" ht="12.75" customHeight="1"/>
    <row r="48" spans="1:13"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customSheetViews>
    <customSheetView guid="{ED7F0585-821B-4CF6-9AE0-E6BD7B56F04D}">
      <pageMargins left="0" right="0" top="0" bottom="0" header="0" footer="0"/>
      <pageSetup orientation="landscape" r:id="rId1"/>
    </customSheetView>
    <customSheetView guid="{70797D03-8F71-4039-A999-FC28B160FC61}">
      <selection activeCell="A36" sqref="A36"/>
      <pageMargins left="0.7" right="0.7" top="0.75" bottom="0.75" header="0" footer="0"/>
      <pageSetup orientation="landscape" r:id="rId2"/>
    </customSheetView>
  </customSheetViews>
  <phoneticPr fontId="7" type="noConversion"/>
  <conditionalFormatting sqref="H4:Z10">
    <cfRule type="expression" dxfId="1" priority="2">
      <formula>MATCH(H4,$A:$A,0)&gt;0</formula>
    </cfRule>
  </conditionalFormatting>
  <conditionalFormatting sqref="C4:D10">
    <cfRule type="expression" dxfId="0" priority="1">
      <formula>MATCH(C4,$A:$A,0)&gt;0</formula>
    </cfRule>
  </conditionalFormatting>
  <pageMargins left="0.7" right="0.7" top="0.75" bottom="0.75" header="0" footer="0"/>
  <pageSetup orientation="landscap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BDFD7-38D3-4019-9F1F-C99948F0202E}">
  <sheetPr codeName="工作表1">
    <tabColor rgb="FFFF99FF"/>
  </sheetPr>
  <dimension ref="E2"/>
  <sheetViews>
    <sheetView workbookViewId="0"/>
  </sheetViews>
  <sheetFormatPr defaultRowHeight="12.75"/>
  <sheetData>
    <row r="2" spans="5:5">
      <c r="E2">
        <v>1</v>
      </c>
    </row>
  </sheetData>
  <customSheetViews>
    <customSheetView guid="{70797D03-8F71-4039-A999-FC28B160FC61}">
      <selection activeCell="A2" sqref="A2"/>
      <pageMargins left="0.7" right="0.7" top="0.75" bottom="0.75" header="0.3" footer="0.3"/>
      <pageSetup paperSize="9" orientation="portrait" r:id="rId1"/>
    </customSheetView>
  </customSheetViews>
  <phoneticPr fontId="7" type="noConversion"/>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orgin</vt:lpstr>
      <vt:lpstr>holiday</vt:lpstr>
      <vt:lpstr>create 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wchsean</dc:creator>
  <cp:keywords/>
  <dc:description/>
  <cp:lastModifiedBy>王正翔</cp:lastModifiedBy>
  <cp:revision/>
  <dcterms:created xsi:type="dcterms:W3CDTF">2022-08-15T02:42:45Z</dcterms:created>
  <dcterms:modified xsi:type="dcterms:W3CDTF">2025-07-17T02:30:38Z</dcterms:modified>
  <cp:category/>
  <cp:contentStatus/>
</cp:coreProperties>
</file>